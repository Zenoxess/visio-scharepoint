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e26b25555042ac" /></Relationships>
</file>

<file path=xl/workbook.xml><?xml version="1.0" encoding="utf-8"?>
<x:workbook xmlns:x="http://schemas.openxmlformats.org/spreadsheetml/2006/main">
  <x:sheets>
    <x:sheet xmlns:r="http://schemas.openxmlformats.org/officeDocument/2006/relationships" name="Übersicht" sheetId="1" r:id="Rcfefb9f894964a6a"/>
    <x:sheet xmlns:r="http://schemas.openxmlformats.org/officeDocument/2006/relationships" name="Entscheidungen" sheetId="2" r:id="R42927ed188c7435f"/>
    <x:sheet xmlns:r="http://schemas.openxmlformats.org/officeDocument/2006/relationships" name="Hinweise" sheetId="3" r:id="R908da794d2634e3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1"/>
      <x:color rgb="FFFFFFFF"/>
      <x:name val="Carlito"/>
    </x:font>
    <x:font>
      <x:sz val="10"/>
      <x:color rgb="FF1F2937"/>
      <x:name val="Carlito"/>
    </x:font>
    <x:font>
      <x:b/>
      <x:sz val="18"/>
      <x:color rgb="FFFFFFFF"/>
      <x:name val="Carlito"/>
    </x:font>
    <x:font>
      <x:b/>
      <x:sz val="11"/>
      <x:color rgb="FF16324F"/>
      <x:name val="Carlito"/>
    </x:font>
    <x:font>
      <x:b/>
      <x:sz val="12"/>
      <x:color rgb="FF16324F"/>
      <x:name val="Carlito"/>
    </x:font>
    <x:font>
      <x:b/>
      <x:sz val="15"/>
      <x:color rgb="FF16324F"/>
      <x:name val="Carlito"/>
    </x:font>
    <x:font>
      <x:b/>
      <x:sz val="11"/>
      <x:color rgb="FF6B4F00"/>
      <x:name val="Carlito"/>
    </x:font>
  </x:fonts>
  <x:fills count="7">
    <x:fill>
      <x:patternFill patternType="none"/>
    </x:fill>
    <x:fill>
      <x:patternFill patternType="gray125"/>
    </x:fill>
    <x:fill>
      <x:patternFill patternType="solid">
        <x:fgColor rgb="FF16324F"/>
      </x:patternFill>
    </x:fill>
    <x:fill>
      <x:patternFill patternType="solid">
        <x:fgColor rgb="FFFFF8D8"/>
      </x:patternFill>
    </x:fill>
    <x:fill>
      <x:patternFill patternType="solid">
        <x:fgColor rgb="FFE8F1F8"/>
      </x:patternFill>
    </x:fill>
    <x:fill>
      <x:patternFill patternType="solid">
        <x:fgColor rgb="FFF4F7FA"/>
      </x:patternFill>
    </x:fill>
    <x:fill>
      <x:patternFill patternType="solid">
        <x:fgColor rgb="FFDCE6F1"/>
      </x:patternFill>
    </x:fill>
  </x:fills>
  <x:borders count="19">
    <x:border/>
    <x:border>
      <x:left style="thin">
        <x:color rgb="FF9FB3C8"/>
      </x:left>
      <x:top style="thin">
        <x:color rgb="FF9FB3C8"/>
      </x:top>
      <x:bottom style="thin">
        <x:color rgb="FF9FB3C8"/>
      </x:bottom>
    </x:border>
    <x:border>
      <x:right style="thin">
        <x:color rgb="FF9FB3C8"/>
      </x:right>
      <x:top style="thin">
        <x:color rgb="FF9FB3C8"/>
      </x:top>
      <x:bottom style="thin">
        <x:color rgb="FF9FB3C8"/>
      </x:bottom>
    </x:border>
    <x:border>
      <x:top style="thin">
        <x:color rgb="FF9FB3C8"/>
      </x:top>
      <x:bottom style="thin">
        <x:color rgb="FF9FB3C8"/>
      </x:bottom>
    </x:border>
    <x:border>
      <x:right style="thin">
        <x:color rgb="FFD5DEE8"/>
      </x:right>
      <x:bottom style="thin">
        <x:color rgb="FFD5DEE8"/>
      </x:bottom>
    </x:border>
    <x:border>
      <x:left style="thin">
        <x:color rgb="FFD5DEE8"/>
      </x:left>
      <x:right style="thin">
        <x:color rgb="FFD5DEE8"/>
      </x:right>
      <x:bottom style="thin">
        <x:color rgb="FFD5DEE8"/>
      </x:bottom>
    </x:border>
    <x:border>
      <x:left style="thin">
        <x:color rgb="FFD5DEE8"/>
      </x:left>
      <x:bottom style="thin">
        <x:color rgb="FFD5DEE8"/>
      </x:bottom>
    </x:border>
    <x:border>
      <x:right style="thin">
        <x:color rgb="FFD5DEE8"/>
      </x:right>
      <x:top style="thin">
        <x:color rgb="FFD5DEE8"/>
      </x:top>
      <x:bottom style="thin">
        <x:color rgb="FFD5DEE8"/>
      </x:bottom>
    </x:border>
    <x:border>
      <x:left style="thin">
        <x:color rgb="FFD5DEE8"/>
      </x:left>
      <x:right style="thin">
        <x:color rgb="FFD5DEE8"/>
      </x:right>
      <x:top style="thin">
        <x:color rgb="FFD5DEE8"/>
      </x:top>
      <x:bottom style="thin">
        <x:color rgb="FFD5DEE8"/>
      </x:bottom>
    </x:border>
    <x:border>
      <x:left style="thin">
        <x:color rgb="FFD5DEE8"/>
      </x:left>
      <x:top style="thin">
        <x:color rgb="FFD5DEE8"/>
      </x:top>
      <x:bottom style="thin">
        <x:color rgb="FFD5DEE8"/>
      </x:bottom>
    </x:border>
    <x:border>
      <x:right style="thin">
        <x:color rgb="FFD5DEE8"/>
      </x:right>
      <x:top style="thin">
        <x:color rgb="FFD5DEE8"/>
      </x:top>
    </x:border>
    <x:border>
      <x:left style="thin">
        <x:color rgb="FFD5DEE8"/>
      </x:left>
      <x:right style="thin">
        <x:color rgb="FFD5DEE8"/>
      </x:right>
      <x:top style="thin">
        <x:color rgb="FFD5DEE8"/>
      </x:top>
    </x:border>
    <x:border>
      <x:left style="thin">
        <x:color rgb="FFD5DEE8"/>
      </x:left>
      <x:top style="thin">
        <x:color rgb="FFD5DEE8"/>
      </x:top>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20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1" xfId="0" applyNumberFormat="1" applyFont="1" applyFill="1" applyBorder="1" applyAlignment="1">
      <x:alignment vertical="center"/>
    </x:xf>
    <x:xf numFmtId="0" fontId="5" fillId="5" borderId="2" xfId="0" applyNumberFormat="1" applyFont="1" applyFill="1" applyBorder="1" applyAlignment="1">
      <x:alignment vertical="center"/>
    </x:xf>
    <x:xf numFmtId="0" fontId="5" fillId="6" borderId="2" xfId="0" applyNumberFormat="1" applyFont="1" applyFill="1" applyBorder="1" applyAlignment="1">
      <x:alignment vertical="center"/>
    </x:xf>
    <x:xf numFmtId="0" fontId="6" fillId="6" borderId="2" xfId="0" applyNumberFormat="1" applyFont="1" applyFill="1" applyBorder="1" applyAlignment="1">
      <x:alignment vertical="center"/>
    </x:xf>
    <x:xf numFmtId="0" fontId="6" fillId="6" borderId="2"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3" xfId="0" applyNumberFormat="1" applyFont="1" applyFill="1" applyBorder="1"/>
    <x:xf numFmtId="0" fontId="4" fillId="6" borderId="2" xfId="0" applyNumberFormat="1" applyFont="1" applyFill="1" applyBorder="1"/>
    <x:xf numFmtId="0" fontId="4" fillId="6" borderId="1" xfId="0" applyNumberFormat="1" applyFont="1" applyFill="1" applyBorder="1" applyAlignment="1">
      <x:alignment vertical="center"/>
    </x:xf>
    <x:xf numFmtId="0" fontId="4" fillId="6" borderId="3" xfId="0" applyNumberFormat="1" applyFont="1" applyFill="1" applyBorder="1" applyAlignment="1">
      <x:alignment vertical="center"/>
    </x:xf>
    <x:xf numFmtId="0" fontId="4" fillId="6" borderId="2" xfId="0" applyNumberFormat="1" applyFont="1" applyFill="1" applyBorder="1" applyAlignment="1">
      <x:alignment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11" xfId="0" applyNumberFormat="1" applyFont="1" applyFill="1" applyBorder="1" applyAlignment="1">
      <x:alignment vertical="center"/>
    </x:xf>
    <x:xf numFmtId="0" fontId="0" fillId="0" borderId="12" xfId="0" applyNumberFormat="1" applyFont="1" applyFill="1" applyBorder="1" applyAlignment="1">
      <x:alignment vertical="center"/>
    </x:xf>
    <x:xf numFmtId="0" fontId="0" fillId="3" borderId="0" xfId="0" applyNumberFormat="1" applyFont="1" applyFill="1" applyBorder="1"/>
    <x:xf numFmtId="0" fontId="7" fillId="3" borderId="0" xfId="0" applyNumberFormat="1" applyFont="1" applyFill="1" applyBorder="1"/>
    <x:xf numFmtId="0" fontId="7" fillId="3" borderId="13" xfId="0" applyNumberFormat="1" applyFont="1" applyFill="1" applyBorder="1"/>
    <x:xf numFmtId="0" fontId="7" fillId="3" borderId="14" xfId="0" applyNumberFormat="1" applyFont="1" applyFill="1" applyBorder="1"/>
    <x:xf numFmtId="0" fontId="7" fillId="3" borderId="15" xfId="0" applyNumberFormat="1" applyFont="1" applyFill="1" applyBorder="1"/>
    <x:xf numFmtId="0" fontId="7" fillId="3" borderId="16" xfId="0" applyNumberFormat="1" applyFont="1" applyFill="1" applyBorder="1"/>
    <x:xf numFmtId="0" fontId="7" fillId="3" borderId="17" xfId="0" applyNumberFormat="1" applyFont="1" applyFill="1" applyBorder="1"/>
    <x:xf numFmtId="0" fontId="7" fillId="3" borderId="18" xfId="0" applyNumberFormat="1" applyFont="1" applyFill="1" applyBorder="1"/>
    <x:xf numFmtId="0" fontId="7" fillId="3" borderId="13" xfId="0" applyNumberFormat="1" applyFont="1" applyFill="1" applyBorder="1" applyAlignment="1">
      <x:alignment wrapText="1"/>
    </x:xf>
    <x:xf numFmtId="0" fontId="7" fillId="3" borderId="14" xfId="0" applyNumberFormat="1" applyFont="1" applyFill="1" applyBorder="1" applyAlignment="1">
      <x:alignment wrapText="1"/>
    </x:xf>
    <x:xf numFmtId="0" fontId="7" fillId="3" borderId="15" xfId="0" applyNumberFormat="1" applyFont="1" applyFill="1" applyBorder="1" applyAlignment="1">
      <x:alignment wrapText="1"/>
    </x:xf>
    <x:xf numFmtId="0" fontId="7" fillId="3" borderId="16" xfId="0" applyNumberFormat="1" applyFont="1" applyFill="1" applyBorder="1" applyAlignment="1">
      <x:alignment wrapText="1"/>
    </x:xf>
    <x:xf numFmtId="0" fontId="7" fillId="3" borderId="17" xfId="0" applyNumberFormat="1" applyFont="1" applyFill="1" applyBorder="1" applyAlignment="1">
      <x:alignment wrapText="1"/>
    </x:xf>
    <x:xf numFmtId="0" fontId="7" fillId="3" borderId="18" xfId="0" applyNumberFormat="1" applyFont="1" applyFill="1" applyBorder="1" applyAlignment="1">
      <x:alignment wrapText="1"/>
    </x:xf>
    <x:xf numFmtId="0" fontId="7" fillId="3" borderId="13" xfId="0" applyNumberFormat="1" applyFont="1" applyFill="1" applyBorder="1" applyAlignment="1">
      <x:alignment vertical="center" wrapText="1"/>
    </x:xf>
    <x:xf numFmtId="0" fontId="7" fillId="3" borderId="14" xfId="0" applyNumberFormat="1" applyFont="1" applyFill="1" applyBorder="1" applyAlignment="1">
      <x:alignment vertical="center" wrapText="1"/>
    </x:xf>
    <x:xf numFmtId="0" fontId="7" fillId="3" borderId="15" xfId="0" applyNumberFormat="1" applyFont="1" applyFill="1" applyBorder="1" applyAlignment="1">
      <x:alignment vertical="center" wrapText="1"/>
    </x:xf>
    <x:xf numFmtId="0" fontId="7" fillId="3" borderId="16" xfId="0" applyNumberFormat="1" applyFont="1" applyFill="1" applyBorder="1" applyAlignment="1">
      <x:alignment vertical="center" wrapText="1"/>
    </x:xf>
    <x:xf numFmtId="0" fontId="7" fillId="3" borderId="17" xfId="0" applyNumberFormat="1" applyFont="1" applyFill="1" applyBorder="1" applyAlignment="1">
      <x:alignment vertical="center" wrapText="1"/>
    </x:xf>
    <x:xf numFmtId="0" fontId="7" fillId="3" borderId="18"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4" fillId="6"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6" borderId="1"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6">
    <x:dxf>
      <x:font>
        <x:b/>
        <x:color rgb="FF991B1B"/>
      </x:font>
      <x:fill>
        <x:patternFill patternType="solid">
          <x:bgColor rgb="FFFDE2E2"/>
        </x:patternFill>
      </x:fill>
    </x:dxf>
    <x:dxf>
      <x:font>
        <x:color rgb="FF92400E"/>
      </x:font>
      <x:fill>
        <x:patternFill patternType="solid">
          <x:bgColor rgb="FFFEF3C7"/>
        </x:patternFill>
      </x:fill>
    </x:dxf>
    <x:dxf>
      <x:font>
        <x:color rgb="FF991B1B"/>
      </x:font>
      <x:fill>
        <x:patternFill patternType="solid">
          <x:bgColor rgb="FFFDE2E2"/>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4B5563"/>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fd1fb19aad4551" /><Relationship Type="http://schemas.openxmlformats.org/officeDocument/2006/relationships/theme" Target="/xl/theme/theme1.xml" Id="Rb76de2cf2e2d4dfe" /><Relationship Type="http://schemas.openxmlformats.org/officeDocument/2006/relationships/sharedStrings" Target="/xl/sharedStrings.xml" Id="R30ed634c81974213" /><Relationship Type="http://schemas.openxmlformats.org/officeDocument/2006/relationships/worksheet" Target="/xl/worksheets/sheet1.xml" Id="Rcfefb9f894964a6a" /><Relationship Type="http://schemas.openxmlformats.org/officeDocument/2006/relationships/worksheet" Target="/xl/worksheets/sheet2.xml" Id="R42927ed188c7435f" /><Relationship Type="http://schemas.openxmlformats.org/officeDocument/2006/relationships/worksheet" Target="/xl/worksheets/sheet3.xml" Id="R908da794d2634e39" /></Relationships>
</file>

<file path=xl/tables/table1.xml><?xml version="1.0" encoding="utf-8"?>
<x:table xmlns:x="http://schemas.openxmlformats.org/spreadsheetml/2006/main" id="1" name="EntscheidungenTable" displayName="EntscheidungenTable" ref="A1:M39" headerRowCount="1" totalsRowCount="0" totalsRowShown="0">
  <x:autoFilter ref="A1:M39"/>
  <x:tableColumns count="13">
    <x:tableColumn id="1" name="ID"/>
    <x:tableColumn id="2" name="Kategorie"/>
    <x:tableColumn id="3" name="Priorität"/>
    <x:tableColumn id="4" name="Status"/>
    <x:tableColumn id="5" name="Fragestellung"/>
    <x:tableColumn id="6" name="Optionen"/>
    <x:tableColumn id="7" name="Empfehlung"/>
    <x:tableColumn id="8" name="Auswirkung"/>
    <x:tableColumn id="9" name="Zuständig"/>
    <x:tableColumn id="10" name="Entscheidung"/>
    <x:tableColumn id="11" name="Begründung"/>
    <x:tableColumn id="12" name="Termin"/>
    <x:tableColumn id="13" name="Quel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c13935ec864ca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3" hidden="0" customWidth="1"/>
    <x:col min="3" max="3" width="19" hidden="0" customWidth="1"/>
    <x:col min="4" max="4" width="17" hidden="0" customWidth="1"/>
    <x:col min="5" max="5" width="13" hidden="0" customWidth="1"/>
    <x:col min="6" max="6" width="22" hidden="0" customWidth="1"/>
    <x:col min="7" max="7" width="15" hidden="0" customWidth="1"/>
    <x:col min="8" max="8" width="15" hidden="0" customWidth="1"/>
  </x:cols>
  <x:sheetData>
    <x:row r="1" ht="34" customHeight="1">
      <x:c r="A1" s="12" t="str">
        <x:v>Entscheidungsregister · Visio–SharePoint Sync</x:v>
      </x:c>
      <x:c r="B1" s="12"/>
      <x:c r="C1" s="12"/>
      <x:c r="D1" s="12"/>
      <x:c r="E1" s="12"/>
      <x:c r="F1" s="12"/>
      <x:c r="G1" s="12"/>
      <x:c r="H1" s="12"/>
    </x:row>
    <x:row r="2" ht="28" customHeight="1">
      <x:c r="A2" s="15" t="str">
        <x:v>Führende Fassung: Diese Arbeitsmappe. Markdown ist lediglich ein datierter Snapshot.</x:v>
      </x:c>
      <x:c r="B2" s="15"/>
      <x:c r="C2" s="15"/>
      <x:c r="D2" s="15"/>
      <x:c r="E2" s="15"/>
      <x:c r="F2" s="15"/>
      <x:c r="G2" s="15"/>
      <x:c r="H2" s="15"/>
    </x:row>
    <x:row r="3">
      <x:c r="A3" t="str">
        <x:v>Stand</x:v>
      </x:c>
      <x:c r="B3" s="16" t="n">
        <x:v>46255</x:v>
      </x:c>
    </x:row>
    <x:row r="5" ht="34" customHeight="1">
      <x:c r="A5" s="21" t="str">
        <x:v>Gesamtfragen</x:v>
      </x:c>
      <x:c r="B5" s="25" t="n">
        <x:f>COUNTA('Entscheidungen'!$A$2:$A$39)</x:f>
        <x:v>38</x:v>
      </x:c>
      <x:c r="D5" s="21" t="str">
        <x:v>Offene Blocker</x:v>
      </x:c>
      <x:c r="E5" s="25" t="n">
        <x:f>COUNTIFS('Entscheidungen'!$C$2:$C$39,"Blocker",'Entscheidungen'!$D$2:$D$39,"&lt;&gt;Entschieden",'Entscheidungen'!$D$2:$D$39,"&lt;&gt;Nicht relevant")</x:f>
        <x:v>18</x:v>
      </x:c>
      <x:c r="G5" s="21" t="str">
        <x:v>Entschieden</x:v>
      </x:c>
      <x:c r="H5" s="25" t="n">
        <x:f>COUNTIF('Entscheidungen'!$D$2:$D$39,"Entschieden")</x:f>
        <x:v>0</x:v>
      </x:c>
    </x:row>
    <x:row r="8">
      <x:c r="A8" s="31" t="str">
        <x:v>Kategorie</x:v>
      </x:c>
      <x:c r="B8" s="32" t="str">
        <x:v>Gesamt</x:v>
      </x:c>
      <x:c r="C8" s="32" t="str">
        <x:v>Offen / in Klärung</x:v>
      </x:c>
      <x:c r="D8" s="33" t="str">
        <x:v>Offene Blocker</x:v>
      </x:c>
      <x:c r="F8" s="31" t="str">
        <x:v>Status</x:v>
      </x:c>
      <x:c r="G8" s="33" t="str">
        <x:v>Anzahl</x:v>
      </x:c>
    </x:row>
    <x:row r="9">
      <x:c r="A9" s="43" t="str">
        <x:v>Umgebung und Zielbild</x:v>
      </x:c>
      <x:c r="B9" s="44" t="n">
        <x:f>COUNTIF('Entscheidungen'!$B$2:$B$39,A9)</x:f>
        <x:v>4</x:v>
      </x:c>
      <x:c r="C9" s="44" t="n">
        <x:f>COUNTIFS('Entscheidungen'!$B$2:$B$39,A9,'Entscheidungen'!$D$2:$D$39,"&lt;&gt;Entschieden",'Entscheidungen'!$D$2:$D$39,"&lt;&gt;Nicht relevant")</x:f>
        <x:v>4</x:v>
      </x:c>
      <x:c r="D9" s="45" t="n">
        <x:f>COUNTIFS('Entscheidungen'!$B$2:$B$39,A9,'Entscheidungen'!$C$2:$C$39,"Blocker",'Entscheidungen'!$D$2:$D$39,"&lt;&gt;Entschieden",'Entscheidungen'!$D$2:$D$39,"&lt;&gt;Nicht relevant")</x:f>
        <x:v>3</x:v>
      </x:c>
      <x:c r="F9" s="34" t="str">
        <x:v>Offen</x:v>
      </x:c>
      <x:c r="G9" s="36" t="n">
        <x:f>COUNTIF('Entscheidungen'!$D$2:$D$39,F9)</x:f>
        <x:v>38</x:v>
      </x:c>
    </x:row>
    <x:row r="10">
      <x:c r="A10" s="46" t="str">
        <x:v>Quelle und Dateiauswahl</x:v>
      </x:c>
      <x:c r="B10" s="47" t="n">
        <x:f>COUNTIF('Entscheidungen'!$B$2:$B$39,A10)</x:f>
        <x:v>5</x:v>
      </x:c>
      <x:c r="C10" s="47" t="n">
        <x:f>COUNTIFS('Entscheidungen'!$B$2:$B$39,A10,'Entscheidungen'!$D$2:$D$39,"&lt;&gt;Entschieden",'Entscheidungen'!$D$2:$D$39,"&lt;&gt;Nicht relevant")</x:f>
        <x:v>5</x:v>
      </x:c>
      <x:c r="D10" s="48" t="n">
        <x:f>COUNTIFS('Entscheidungen'!$B$2:$B$39,A10,'Entscheidungen'!$C$2:$C$39,"Blocker",'Entscheidungen'!$D$2:$D$39,"&lt;&gt;Entschieden",'Entscheidungen'!$D$2:$D$39,"&lt;&gt;Nicht relevant")</x:f>
        <x:v>2</x:v>
      </x:c>
      <x:c r="F10" s="37" t="str">
        <x:v>In Klärung</x:v>
      </x:c>
      <x:c r="G10" s="39" t="n">
        <x:f>COUNTIF('Entscheidungen'!$D$2:$D$39,F10)</x:f>
        <x:v>0</x:v>
      </x:c>
    </x:row>
    <x:row r="11">
      <x:c r="A11" s="46" t="str">
        <x:v>Visio- und PDF-Konvertierung</x:v>
      </x:c>
      <x:c r="B11" s="47" t="n">
        <x:f>COUNTIF('Entscheidungen'!$B$2:$B$39,A11)</x:f>
        <x:v>5</x:v>
      </x:c>
      <x:c r="C11" s="47" t="n">
        <x:f>COUNTIFS('Entscheidungen'!$B$2:$B$39,A11,'Entscheidungen'!$D$2:$D$39,"&lt;&gt;Entschieden",'Entscheidungen'!$D$2:$D$39,"&lt;&gt;Nicht relevant")</x:f>
        <x:v>5</x:v>
      </x:c>
      <x:c r="D11" s="48" t="n">
        <x:f>COUNTIFS('Entscheidungen'!$B$2:$B$39,A11,'Entscheidungen'!$C$2:$C$39,"Blocker",'Entscheidungen'!$D$2:$D$39,"&lt;&gt;Entschieden",'Entscheidungen'!$D$2:$D$39,"&lt;&gt;Nicht relevant")</x:f>
        <x:v>2</x:v>
      </x:c>
      <x:c r="F11" s="37" t="str">
        <x:v>Entschieden</x:v>
      </x:c>
      <x:c r="G11" s="39" t="n">
        <x:f>COUNTIF('Entscheidungen'!$D$2:$D$39,F11)</x:f>
        <x:v>0</x:v>
      </x:c>
    </x:row>
    <x:row r="12">
      <x:c r="A12" s="46" t="str">
        <x:v>SharePoint und Zielstruktur</x:v>
      </x:c>
      <x:c r="B12" s="47" t="n">
        <x:f>COUNTIF('Entscheidungen'!$B$2:$B$39,A12)</x:f>
        <x:v>5</x:v>
      </x:c>
      <x:c r="C12" s="47" t="n">
        <x:f>COUNTIFS('Entscheidungen'!$B$2:$B$39,A12,'Entscheidungen'!$D$2:$D$39,"&lt;&gt;Entschieden",'Entscheidungen'!$D$2:$D$39,"&lt;&gt;Nicht relevant")</x:f>
        <x:v>5</x:v>
      </x:c>
      <x:c r="D12" s="48" t="n">
        <x:f>COUNTIFS('Entscheidungen'!$B$2:$B$39,A12,'Entscheidungen'!$C$2:$C$39,"Blocker",'Entscheidungen'!$D$2:$D$39,"&lt;&gt;Entschieden",'Entscheidungen'!$D$2:$D$39,"&lt;&gt;Nicht relevant")</x:f>
        <x:v>2</x:v>
      </x:c>
      <x:c r="F12" s="40" t="str">
        <x:v>Nicht relevant</x:v>
      </x:c>
      <x:c r="G12" s="42" t="n">
        <x:f>COUNTIF('Entscheidungen'!$D$2:$D$39,F12)</x:f>
        <x:v>0</x:v>
      </x:c>
    </x:row>
    <x:row r="13">
      <x:c r="A13" s="46" t="str">
        <x:v>Identität und Sicherheit</x:v>
      </x:c>
      <x:c r="B13" s="47" t="n">
        <x:f>COUNTIF('Entscheidungen'!$B$2:$B$39,A13)</x:f>
        <x:v>4</x:v>
      </x:c>
      <x:c r="C13" s="47" t="n">
        <x:f>COUNTIFS('Entscheidungen'!$B$2:$B$39,A13,'Entscheidungen'!$D$2:$D$39,"&lt;&gt;Entschieden",'Entscheidungen'!$D$2:$D$39,"&lt;&gt;Nicht relevant")</x:f>
        <x:v>4</x:v>
      </x:c>
      <x:c r="D13" s="48" t="n">
        <x:f>COUNTIFS('Entscheidungen'!$B$2:$B$39,A13,'Entscheidungen'!$C$2:$C$39,"Blocker",'Entscheidungen'!$D$2:$D$39,"&lt;&gt;Entschieden",'Entscheidungen'!$D$2:$D$39,"&lt;&gt;Nicht relevant")</x:f>
        <x:v>2</x:v>
      </x:c>
    </x:row>
    <x:row r="14">
      <x:c r="A14" s="46" t="str">
        <x:v>Synchronisationsregeln</x:v>
      </x:c>
      <x:c r="B14" s="47" t="n">
        <x:f>COUNTIF('Entscheidungen'!$B$2:$B$39,A14)</x:f>
        <x:v>6</x:v>
      </x:c>
      <x:c r="C14" s="47" t="n">
        <x:f>COUNTIFS('Entscheidungen'!$B$2:$B$39,A14,'Entscheidungen'!$D$2:$D$39,"&lt;&gt;Entschieden",'Entscheidungen'!$D$2:$D$39,"&lt;&gt;Nicht relevant")</x:f>
        <x:v>6</x:v>
      </x:c>
      <x:c r="D14" s="48" t="n">
        <x:f>COUNTIFS('Entscheidungen'!$B$2:$B$39,A14,'Entscheidungen'!$C$2:$C$39,"Blocker",'Entscheidungen'!$D$2:$D$39,"&lt;&gt;Entschieden",'Entscheidungen'!$D$2:$D$39,"&lt;&gt;Nicht relevant")</x:f>
        <x:v>4</x:v>
      </x:c>
      <x:c r="F14" s="66" t="str">
        <x:v>Nächster Schritt: Blocker in der führenden Excel-Datei entscheiden und erst danach die produktiven Adapter implementieren.</x:v>
      </x:c>
      <x:c r="G14" s="67"/>
      <x:c r="H14" s="68"/>
    </x:row>
    <x:row r="15">
      <x:c r="A15" s="46" t="str">
        <x:v>Betrieb und Überwachung</x:v>
      </x:c>
      <x:c r="B15" s="47" t="n">
        <x:f>COUNTIF('Entscheidungen'!$B$2:$B$39,A15)</x:f>
        <x:v>5</x:v>
      </x:c>
      <x:c r="C15" s="47" t="n">
        <x:f>COUNTIFS('Entscheidungen'!$B$2:$B$39,A15,'Entscheidungen'!$D$2:$D$39,"&lt;&gt;Entschieden",'Entscheidungen'!$D$2:$D$39,"&lt;&gt;Nicht relevant")</x:f>
        <x:v>5</x:v>
      </x:c>
      <x:c r="D15" s="48" t="n">
        <x:f>COUNTIFS('Entscheidungen'!$B$2:$B$39,A15,'Entscheidungen'!$C$2:$C$39,"Blocker",'Entscheidungen'!$D$2:$D$39,"&lt;&gt;Entschieden",'Entscheidungen'!$D$2:$D$39,"&lt;&gt;Nicht relevant")</x:f>
        <x:v>1</x:v>
      </x:c>
      <x:c r="F15" s="69"/>
      <x:c r="G15" s="70"/>
      <x:c r="H15" s="71"/>
    </x:row>
    <x:row r="16">
      <x:c r="A16" s="49" t="str">
        <x:v>Abnahme und Freigabe</x:v>
      </x:c>
      <x:c r="B16" s="50" t="n">
        <x:f>COUNTIF('Entscheidungen'!$B$2:$B$39,A16)</x:f>
        <x:v>4</x:v>
      </x:c>
      <x:c r="C16" s="50" t="n">
        <x:f>COUNTIFS('Entscheidungen'!$B$2:$B$39,A16,'Entscheidungen'!$D$2:$D$39,"&lt;&gt;Entschieden",'Entscheidungen'!$D$2:$D$39,"&lt;&gt;Nicht relevant")</x:f>
        <x:v>4</x:v>
      </x:c>
      <x:c r="D16" s="51" t="n">
        <x:f>COUNTIFS('Entscheidungen'!$B$2:$B$39,A16,'Entscheidungen'!$C$2:$C$39,"Blocker",'Entscheidungen'!$D$2:$D$39,"&lt;&gt;Entschieden",'Entscheidungen'!$D$2:$D$39,"&lt;&gt;Nicht relevant")</x:f>
        <x:v>2</x:v>
      </x:c>
    </x:row>
  </x:sheetData>
  <x:mergeCells>
    <x:mergeCell ref="A1:H1"/>
    <x:mergeCell ref="A2:H2"/>
    <x:mergeCell ref="F14: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12" hidden="0" customWidth="1"/>
    <x:col min="4" max="4" width="16" hidden="0" customWidth="1"/>
    <x:col min="5" max="5" width="48" hidden="0" customWidth="1"/>
    <x:col min="6" max="6" width="50" hidden="0" customWidth="1"/>
    <x:col min="7" max="7" width="50" hidden="0" customWidth="1"/>
    <x:col min="8" max="8" width="42" hidden="0" customWidth="1"/>
    <x:col min="9" max="9" width="27" hidden="0" customWidth="1"/>
    <x:col min="10" max="10" width="40" hidden="0" customWidth="1"/>
    <x:col min="11" max="11" width="40" hidden="0" customWidth="1"/>
    <x:col min="12" max="12" width="13" hidden="0" customWidth="1"/>
    <x:col min="13" max="13" width="54" hidden="0" customWidth="1"/>
  </x:cols>
  <x:sheetData>
    <x:row r="1" ht="32" customHeight="1">
      <x:c r="A1" s="4" t="str">
        <x:v>ID</x:v>
      </x:c>
      <x:c r="B1" s="4" t="str">
        <x:v>Kategorie</x:v>
      </x:c>
      <x:c r="C1" s="4" t="str">
        <x:v>Priorität</x:v>
      </x:c>
      <x:c r="D1" s="4" t="str">
        <x:v>Status</x:v>
      </x:c>
      <x:c r="E1" s="4" t="str">
        <x:v>Fragestellung</x:v>
      </x:c>
      <x:c r="F1" s="4" t="str">
        <x:v>Optionen</x:v>
      </x:c>
      <x:c r="G1" s="4" t="str">
        <x:v>Empfehlung</x:v>
      </x:c>
      <x:c r="H1" s="4" t="str">
        <x:v>Auswirkung</x:v>
      </x:c>
      <x:c r="I1" s="4" t="str">
        <x:v>Zuständig</x:v>
      </x:c>
      <x:c r="J1" s="4" t="str">
        <x:v>Entscheidung</x:v>
      </x:c>
      <x:c r="K1" s="4" t="str">
        <x:v>Begründung</x:v>
      </x:c>
      <x:c r="L1" s="4" t="str">
        <x:v>Termin</x:v>
      </x:c>
      <x:c r="M1" s="4" t="str">
        <x:v>Quelle</x:v>
      </x:c>
    </x:row>
    <x:row r="2" ht="92" customHeight="1">
      <x:c r="A2" s="7" t="str">
        <x:v>ENV-001</x:v>
      </x:c>
      <x:c r="B2" s="7" t="str">
        <x:v>Umgebung und Zielbild</x:v>
      </x:c>
      <x:c r="C2" s="7" t="str">
        <x:v>Blocker</x:v>
      </x:c>
      <x:c r="D2" s="7" t="str">
        <x:v>Offen</x:v>
      </x:c>
      <x:c r="E2" s="7" t="str">
        <x:v>Auf welchem Betriebssystem, Host und in welcher PowerShell-Version und -Bitness soll die Lösung verbindlich laufen?</x:v>
      </x:c>
      <x:c r="F2" s="7" t="str">
        <x:v>Dedizierter Windows-Client oder Windows-VM mit PowerShell 7 x64
Windows PowerShell 5.1 auf bestehendem Host
Windows Server mit PowerShell
Azure- oder anderer Headless-Host ohne Visio Desktop</x:v>
      </x:c>
      <x:c r="G2" s="7" t="str">
        <x:v>Wenn Visio per COM automatisiert wird, einen dedizierten Windows-Client oder eine Windows-VM mit festgelegter und getesteter PowerShell-/Visio-Bitness verwenden; wenn ein vollständig unbeaufsichtigter, supportbarer Serverbetrieb gefordert ist, keinen Office-COM-Ansatz wählen.</x:v>
      </x:c>
      <x:c r="H2" s="7" t="str">
        <x:v>Legt Runtime, Modulkompatibilität, COM-Fähigkeit, Patch- und Supportmodell fest.</x:v>
      </x:c>
      <x:c r="I2" s="7" t="str">
        <x:v>Windows-/Plattformbetrieb</x:v>
      </x:c>
      <x:c r="J2" s="8" t="str"/>
      <x:c r="K2" s="8" t="str"/>
      <x:c r="L2" s="9" t="str"/>
      <x:c r="M2" s="7" t="str">
        <x:v>https://learn.microsoft.com/en-us/powershell/scripting/whats-new/differences-from-windows-powershell
https://support.microsoft.com/en-us/visio/considerations-for-server-side-automation-of-office</x:v>
      </x:c>
    </x:row>
    <x:row r="3" ht="92" customHeight="1">
      <x:c r="A3" s="7" t="str">
        <x:v>ENV-002</x:v>
      </x:c>
      <x:c r="B3" s="7" t="str">
        <x:v>Umgebung und Zielbild</x:v>
      </x:c>
      <x:c r="C3" s="7" t="str">
        <x:v>Blocker</x:v>
      </x:c>
      <x:c r="D3" s="7" t="str">
        <x:v>Offen</x:v>
      </x:c>
      <x:c r="E3" s="7" t="str">
        <x:v>Unter welcher Identität und in welchem Sitzungsmodell wird das Skript ausgeführt?</x:v>
      </x:c>
      <x:c r="F3" s="7" t="str">
        <x:v>Angemeldetes, dediziertes Benutzerkonto mit geplanter Aufgabe
Geplante Aufgabe ohne interaktive Anmeldung
Windows-Dienstkonto oder gMSA
Cloud-Workload mit Managed Identity</x:v>
      </x:c>
      <x:c r="G3" s="7" t="str">
        <x:v>Wenn Visio-COM zwingend ist und das dokumentierte Support-Risiko akzeptiert wird, ein dediziertes, minimal berechtigtes Benutzerprofil mit kontrollierter interaktiver Sitzung verwenden; andernfalls eine headless-fähige Konvertierung und eine Dienst- oder Workload-Identität einsetzen.</x:v>
      </x:c>
      <x:c r="H3" s="7" t="str">
        <x:v>Bestimmt Visio-Stabilität, Profilabhängigkeiten, Netzlaufwerkszugriff, Geheimnisablage und Wiederanlauf.</x:v>
      </x:c>
      <x:c r="I3" s="7" t="str">
        <x:v>Service Owner gemeinsam mit Windows-Betrieb und Informationssicherheit</x:v>
      </x:c>
      <x:c r="J3" s="8" t="str"/>
      <x:c r="K3" s="8" t="str"/>
      <x:c r="L3" s="9" t="str"/>
      <x:c r="M3" s="7" t="str">
        <x:v>https://support.microsoft.com/en-us/visio/considerations-for-server-side-automation-of-office
https://learn.microsoft.com/en-us/entra/identity-platform/scenario-daemon-app-configuration</x:v>
      </x:c>
    </x:row>
    <x:row r="4" ht="92" customHeight="1">
      <x:c r="A4" s="7" t="str">
        <x:v>ENV-003</x:v>
      </x:c>
      <x:c r="B4" s="7" t="str">
        <x:v>Umgebung und Zielbild</x:v>
      </x:c>
      <x:c r="C4" s="7" t="str">
        <x:v>Blocker</x:v>
      </x:c>
      <x:c r="D4" s="7" t="str">
        <x:v>Offen</x:v>
      </x:c>
      <x:c r="E4" s="7" t="str">
        <x:v>Wie wird der Quellpfad technisch adressiert und authentifiziert?</x:v>
      </x:c>
      <x:c r="F4" s="7" t="str">
        <x:v>Kanonischer UNC-Pfad mit integrierter Windows-Identität
Gemapptes Laufwerk
UNC-Pfad mit separat verwalteter SMB-Anmeldeinformation
Mehrere UNC-Wurzeln</x:v>
      </x:c>
      <x:c r="G4" s="7" t="str">
        <x:v>Wenn Quelle und Ausführungskonto derselben Vertrauensdomäne angehören, einen kanonischen UNC-Pfad mit integrierter Identität nutzen; andernfalls die SMB-Anmeldeinformation in einem freigegebenen Secret-Verfahren verwalten und je Lauf explizit verbinden; gemappte Laufwerksbuchstaben nur für nachweislich interaktive Ausführung zulassen.</x:v>
      </x:c>
      <x:c r="H4" s="7" t="str">
        <x:v>Verhindert kontextabhängig fehlende Laufwerkszuordnungen und legt Dateisystemberechtigungen sowie Konfiguration fest.</x:v>
      </x:c>
      <x:c r="I4" s="7" t="str">
        <x:v>Windows-/Dateiserverbetrieb</x:v>
      </x:c>
      <x:c r="J4" s="8" t="str"/>
      <x:c r="K4" s="8" t="str"/>
      <x:c r="L4" s="9" t="str"/>
      <x:c r="M4" s="7" t="str">
        <x:v>https://learn.microsoft.com/en-us/powershell/scripting/samples/performing-networking-tasks</x:v>
      </x:c>
    </x:row>
    <x:row r="5" ht="92" customHeight="1">
      <x:c r="A5" s="7" t="str">
        <x:v>ENV-004</x:v>
      </x:c>
      <x:c r="B5" s="7" t="str">
        <x:v>Umgebung und Zielbild</x:v>
      </x:c>
      <x:c r="C5" s="7" t="str">
        <x:v>Hoch</x:v>
      </x:c>
      <x:c r="D5" s="7" t="str">
        <x:v>Offen</x:v>
      </x:c>
      <x:c r="E5" s="7" t="str">
        <x:v>Wie werden Umgebungen, nicht geheime Konfiguration und Skriptfreigabe getrennt und abgesichert?</x:v>
      </x:c>
      <x:c r="F5" s="7" t="str">
        <x:v>Versionierte Standardkonfiguration plus externe JSON-Datei je Umgebung
Ausschließlich Parameter und Umgebungsvariablen
Fest codierte Werte im Skript
Signiertes Modul-/Skriptpaket mit Change-Prozess</x:v>
      </x:c>
      <x:c r="G5" s="7" t="str">
        <x:v>Wenn mehrere Umgebungen oder Betreiber existieren, versionierte Defaults mit validierter externer JSON-Konfiguration und separater Secret-Ablage verwenden; wenn Gruppenrichtlinien signierte Skripte verlangen, zusätzlich Authenticode-Signierung und einen geregelten Release-Prozess vorsehen.</x:v>
      </x:c>
      <x:c r="H5" s="7" t="str">
        <x:v>Beeinflusst Wiederholbarkeit, Änderbarkeit, Auditierbarkeit und Schutz vor unbeabsichtigter Fehlkonfiguration.</x:v>
      </x:c>
      <x:c r="I5" s="7" t="str">
        <x:v>Application Owner gemeinsam mit Windows-Betrieb</x:v>
      </x:c>
      <x:c r="J5" s="8" t="str"/>
      <x:c r="K5" s="8" t="str"/>
      <x:c r="L5" s="9" t="str"/>
      <x:c r="M5" s="7" t="str">
        <x:v>https://learn.microsoft.com/en-us/powershell/module/microsoft.powershell.core/about/about_signing
https://learn.microsoft.com/en-us/powershell/module/microsoft.powershell.core/about/about_execution_policies</x:v>
      </x:c>
    </x:row>
    <x:row r="6" ht="92" customHeight="1">
      <x:c r="A6" s="7" t="str">
        <x:v>SRC-001</x:v>
      </x:c>
      <x:c r="B6" s="7" t="str">
        <x:v>Quelle und Dateiauswahl</x:v>
      </x:c>
      <x:c r="C6" s="7" t="str">
        <x:v>Blocker</x:v>
      </x:c>
      <x:c r="D6" s="7" t="str">
        <x:v>Offen</x:v>
      </x:c>
      <x:c r="E6" s="7" t="str">
        <x:v>Welche Quellwurzel oder Quellwurzeln, Rekursionstiefe und Ausschlüsse gehören verbindlich zum Scan?</x:v>
      </x:c>
      <x:c r="F6" s="7" t="str">
        <x:v>Eine UNC-Wurzel vollständig rekursiv
Mehrere Wurzeln mit eindeutigem Zielalias
Nur freigegebene Unterbäume
Explizite Ausschlussmuster für Archiv, Papierkorb und Arbeitsordner</x:v>
      </x:c>
      <x:c r="G6" s="7" t="str">
        <x:v>Wenn eine gemeinsame Baumwurzel existiert, genau einen kanonischen UNC-Root rekursiv mit konfigurierbarer Ausschlussliste verwenden; andernfalls jeder Wurzel einen stabilen, eindeutigen Zielalias zuordnen, damit relative Pfade nicht kollidieren.</x:v>
      </x:c>
      <x:c r="H6" s="7" t="str">
        <x:v>Definiert Scanmenge, Zielpfadbildung, Laufzeit und Risiko unbeabsichtigter Veröffentlichung.</x:v>
      </x:c>
      <x:c r="I6" s="7" t="str">
        <x:v>Fachverantwortung der Quelle gemeinsam mit Dateiserverbetrieb</x:v>
      </x:c>
      <x:c r="J6" s="8" t="str"/>
      <x:c r="K6" s="8" t="str"/>
      <x:c r="L6" s="9" t="str"/>
      <x:c r="M6" s="7" t="str"/>
    </x:row>
    <x:row r="7" ht="92" customHeight="1">
      <x:c r="A7" s="7" t="str">
        <x:v>SRC-002</x:v>
      </x:c>
      <x:c r="B7" s="7" t="str">
        <x:v>Quelle und Dateiauswahl</x:v>
      </x:c>
      <x:c r="C7" s="7" t="str">
        <x:v>Blocker</x:v>
      </x:c>
      <x:c r="D7" s="7" t="str">
        <x:v>Offen</x:v>
      </x:c>
      <x:c r="E7" s="7" t="str">
        <x:v>Wie lautet die exakte Namenskonvention einschließlich Groß-/Kleinschreibung, erlaubter Zeichen und positiver sowie negativer Beispiele?</x:v>
      </x:c>
      <x:c r="F7" s="7" t="str">
        <x:v>Verankerter regulärer Ausdruck auf dem Dateinamen ohne Pfad
Einfaches Wildcard-Muster
Liste zugelassener Präfixe oder Suffixe
Kombination aus Regex und Ausschlussmustern</x:v>
      </x:c>
      <x:c r="G7" s="7" t="str">
        <x:v>Wenn die Konvention mehr als ein einfaches Präfix oder Suffix enthält, einen verankerten, standardmäßig case-insensitiven Regex auf dem Basisdateinamen konfigurieren und mit mindestens fünf positiven sowie fünf negativen Beispielen abnehmen; andernfalls genügt ein dokumentiertes Wildcard-Muster.</x:v>
      </x:c>
      <x:c r="H7" s="7" t="str">
        <x:v>Steuert unmittelbar, welche Geschäftsdokumente publiziert oder ausgelassen werden.</x:v>
      </x:c>
      <x:c r="I7" s="7" t="str">
        <x:v>Fachverantwortung der Quelle</x:v>
      </x:c>
      <x:c r="J7" s="8" t="str"/>
      <x:c r="K7" s="8" t="str"/>
      <x:c r="L7" s="9" t="str"/>
      <x:c r="M7" s="7" t="str"/>
    </x:row>
    <x:row r="8" ht="92" customHeight="1">
      <x:c r="A8" s="7" t="str">
        <x:v>SRC-003</x:v>
      </x:c>
      <x:c r="B8" s="7" t="str">
        <x:v>Quelle und Dateiauswahl</x:v>
      </x:c>
      <x:c r="C8" s="7" t="str">
        <x:v>Hoch</x:v>
      </x:c>
      <x:c r="D8" s="7" t="str">
        <x:v>Offen</x:v>
      </x:c>
      <x:c r="E8" s="7" t="str">
        <x:v>Welche Visio-Dateiformate sind zulässig und wie werden gleiche relative Basisnamen aus verschiedenen Formaten behandelt?</x:v>
      </x:c>
      <x:c r="F8" s="7" t="str">
        <x:v>Nur .vsdx
.vsdx und .vsdm
Zusätzlich Legacy .vsd oder .vdx
Prioritätsregel je Erweiterung</x:v>
      </x:c>
      <x:c r="G8" s="7" t="str">
        <x:v>Wenn kein belegter Altformatbedarf besteht, nur .vsdx zulassen; andernfalls jedes zusätzliche Format mit dem realen Visio-Build testen und bei gleichem relativen Basisnamen entweder eine fachlich festgelegte Priorität anwenden oder beide Dateien als Konflikt sperren.</x:v>
      </x:c>
      <x:c r="H8" s="7" t="str">
        <x:v>Bestimmt Konvertierungskompatibilität und verhindert, dass mehrere Quellen dieselbe PDF-Zieldatei überschreiben.</x:v>
      </x:c>
      <x:c r="I8" s="7" t="str">
        <x:v>Fachverantwortung gemeinsam mit Application Owner</x:v>
      </x:c>
      <x:c r="J8" s="8" t="str"/>
      <x:c r="K8" s="8" t="str"/>
      <x:c r="L8" s="9" t="str"/>
      <x:c r="M8" s="7" t="str">
        <x:v>https://learn.microsoft.com/en-us/office/client-developer/visio/introduction-to-the-visio-file-formatvsdx
https://support.microsoft.com/en-us/visio/view-create-and-edit-a-diagram-in-visio-for-the-web</x:v>
      </x:c>
    </x:row>
    <x:row r="9" ht="92" customHeight="1">
      <x:c r="A9" s="7" t="str">
        <x:v>SRC-004</x:v>
      </x:c>
      <x:c r="B9" s="7" t="str">
        <x:v>Quelle und Dateiauswahl</x:v>
      </x:c>
      <x:c r="C9" s="7" t="str">
        <x:v>Hoch</x:v>
      </x:c>
      <x:c r="D9" s="7" t="str">
        <x:v>Offen</x:v>
      </x:c>
      <x:c r="E9" s="7" t="str">
        <x:v>Wann gilt eine Quelldatei als vollständig geschrieben und konvertierbar?</x:v>
      </x:c>
      <x:c r="F9" s="7" t="str">
        <x:v>Nur exklusiv lesbare Dateien verarbeiten
Mindestalter seit letzter Änderung
Größe und Änderungszeit zweimal im Abstand prüfen
Lokalen Snapshot erstellen und Fingerprint vor sowie nach Verarbeitung vergleichen</x:v>
      </x:c>
      <x:c r="G9" s="7" t="str">
        <x:v>Wenn Quellanwendungen nicht garantiert atomar speichern, Mindestalter plus doppelte Größen-/Zeitprüfung und lokalen Snapshot verwenden; wenn atomare Ablage garantiert und getestet ist, kann eine exklusive Öffnungsprüfung mit anschließendem Fingerprint genügen.</x:v>
      </x:c>
      <x:c r="H9" s="7" t="str">
        <x:v>Verhindert beschädigte PDFs, Teilstände und unnötige Wiederholungen bei gerade gespeicherten Dateien.</x:v>
      </x:c>
      <x:c r="I9" s="7" t="str">
        <x:v>Dateiserverbetrieb gemeinsam mit Application Owner</x:v>
      </x:c>
      <x:c r="J9" s="8" t="str"/>
      <x:c r="K9" s="8" t="str"/>
      <x:c r="L9" s="9" t="str"/>
      <x:c r="M9" s="7" t="str">
        <x:v>https://learn.microsoft.com/en-us/dotnet/api/system.io.file.open</x:v>
      </x:c>
    </x:row>
    <x:row r="10" ht="92" customHeight="1">
      <x:c r="A10" s="7" t="str">
        <x:v>SRC-005</x:v>
      </x:c>
      <x:c r="B10" s="7" t="str">
        <x:v>Quelle und Dateiauswahl</x:v>
      </x:c>
      <x:c r="C10" s="7" t="str">
        <x:v>Mittel</x:v>
      </x:c>
      <x:c r="D10" s="7" t="str">
        <x:v>Offen</x:v>
      </x:c>
      <x:c r="E10" s="7" t="str">
        <x:v>Wie werden temporäre Dateien, versteckte/Systemdateien, Reparse Points und Zugriffsfehler beim Scan behandelt?</x:v>
      </x:c>
      <x:c r="F10" s="7" t="str">
        <x:v>Alles verfolgen und Fehler abbrechen lassen
Office-Lockdateien, versteckte/Systemdateien und Reparse Points ausschließen
Reparse Points per Allowlist zulassen
Zugriffsfehler pro Datei protokollieren und Lauf fortsetzen</x:v>
      </x:c>
      <x:c r="G10" s="7" t="str">
        <x:v>Wenn keine fachlich bestätigten Junctions benötigt werden, Reparse Points nicht verfolgen und temporäre sowie versteckte/Systemdateien ausschließen; andernfalls nur freigegebene Ziele per Allowlist verfolgen; einzelne Zugriffsfehler melden und den Restlauf fortsetzen.</x:v>
      </x:c>
      <x:c r="H10" s="7" t="str">
        <x:v>Verhindert Schleifen, Doppelverarbeitung, Fremdbestand und den Abbruch eines gesamten Zyklus durch eine Datei.</x:v>
      </x:c>
      <x:c r="I10" s="7" t="str">
        <x:v>Dateiserverbetrieb</x:v>
      </x:c>
      <x:c r="J10" s="8" t="str"/>
      <x:c r="K10" s="8" t="str"/>
      <x:c r="L10" s="9" t="str"/>
      <x:c r="M10" s="7" t="str">
        <x:v>https://learn.microsoft.com/en-us/dotnet/api/system.io.fileattributes</x:v>
      </x:c>
    </x:row>
    <x:row r="11" ht="92" customHeight="1">
      <x:c r="A11" s="7" t="str">
        <x:v>CNV-001</x:v>
      </x:c>
      <x:c r="B11" s="7" t="str">
        <x:v>Visio- und PDF-Konvertierung</x:v>
      </x:c>
      <x:c r="C11" s="7" t="str">
        <x:v>Blocker</x:v>
      </x:c>
      <x:c r="D11" s="7" t="str">
        <x:v>Offen</x:v>
      </x:c>
      <x:c r="E11" s="7" t="str">
        <x:v>Welcher Konvertierungsweg ist fachlich akzeptiert und betrieblich supportbar?</x:v>
      </x:c>
      <x:c r="F11" s="7" t="str">
        <x:v>Lokales Visio-Desktop-COM mit ExportAsFixedFormat
Manuelle oder beaufsichtigte Visio-Konvertierung
Freigegebener Drittanbieter- oder Konvertierungsdienst
Neuaufbau auf einem dokumentenformatbasierten Renderer, sofern vollständig kompatibel</x:v>
      </x:c>
      <x:c r="G11" s="7" t="str">
        <x:v>Wenn ein vollständig unbeaufsichtigter und von Microsoft supportbarer Serverbetrieb zwingend ist, einen für Headless-Betrieb freigegebenen Konvertierungsdienst wählen; wenn Visio-COM wegen maximaler Darstellungsnähe erforderlich ist, das Microsoft-Supportrisiko ausdrücklich akzeptieren und den Betrieb auf einer isolierten, überwachten Client-Instanz pilotieren.</x:v>
      </x:c>
      <x:c r="H11" s="7" t="str">
        <x:v>Ist die zentrale Architekturentscheidung für Qualität, Lizenzierung, Stabilität, Support und Hosting.</x:v>
      </x:c>
      <x:c r="I11" s="7" t="str">
        <x:v>Service Owner gemeinsam mit Enterprise Architecture und Lizenzmanagement</x:v>
      </x:c>
      <x:c r="J11" s="8" t="str"/>
      <x:c r="K11" s="8" t="str"/>
      <x:c r="L11" s="9" t="str"/>
      <x:c r="M11" s="7" t="str">
        <x:v>https://support.microsoft.com/en-us/visio/considerations-for-server-side-automation-of-office
https://learn.microsoft.com/de-de/office/vba/api/visio.document.exportasfixedformat</x:v>
      </x:c>
    </x:row>
    <x:row r="12" ht="92" customHeight="1">
      <x:c r="A12" s="7" t="str">
        <x:v>CNV-002</x:v>
      </x:c>
      <x:c r="B12" s="7" t="str">
        <x:v>Visio- und PDF-Konvertierung</x:v>
      </x:c>
      <x:c r="C12" s="7" t="str">
        <x:v>Blocker</x:v>
      </x:c>
      <x:c r="D12" s="7" t="str">
        <x:v>Offen</x:v>
      </x:c>
      <x:c r="E12" s="7" t="str">
        <x:v>Welche Visio-Edition, Version, Lizenz, Sprache und Bitness steht auf dem Ausführungshost bereit?</x:v>
      </x:c>
      <x:c r="F12" s="7" t="str">
        <x:v>Bestehende Visio-Desktopinstallation
Dedizierte Visio-Plan-2-/Volumenlizenzinstallation
Mehrere parallel zu unterstützende Builds
Keine lokale Visio-Installation</x:v>
      </x:c>
      <x:c r="G12" s="7" t="str">
        <x:v>Wenn COM gewählt wird, genau einen organisatorisch unterstützten Desktop-Build mit gültiger Lizenz, vollständig initialisiertem Benutzerprofil und zur PowerShell passenden Bitness festschreiben und unter der späteren Ausführungsidentität testen; wenn keine solche Installation zulässig ist, CNV-001 auf einen anderen Renderer entscheiden.</x:v>
      </x:c>
      <x:c r="H12" s="7" t="str">
        <x:v>Verhindert Aktivierungsdialoge, COM-Registrierungsfehler, Versionsdrift und nicht reproduzierbare Ausgabe.</x:v>
      </x:c>
      <x:c r="I12" s="7" t="str">
        <x:v>Lizenzmanagement gemeinsam mit Client-/Windows-Betrieb</x:v>
      </x:c>
      <x:c r="J12" s="8" t="str"/>
      <x:c r="K12" s="8" t="str"/>
      <x:c r="L12" s="9" t="str"/>
      <x:c r="M12" s="7" t="str">
        <x:v>https://support.microsoft.com/en-us/visio/view-create-and-edit-a-diagram-in-visio-for-the-web
https://support.microsoft.com/en-us/visio/considerations-for-server-side-automation-of-office</x:v>
      </x:c>
    </x:row>
    <x:row r="13" ht="92" customHeight="1">
      <x:c r="A13" s="7" t="str">
        <x:v>CNV-003</x:v>
      </x:c>
      <x:c r="B13" s="7" t="str">
        <x:v>Visio- und PDF-Konvertierung</x:v>
      </x:c>
      <x:c r="C13" s="7" t="str">
        <x:v>Hoch</x:v>
      </x:c>
      <x:c r="D13" s="7" t="str">
        <x:v>Offen</x:v>
      </x:c>
      <x:c r="E13" s="7" t="str">
        <x:v>Welches verbindliche PDF-Exportprofil gilt für Seiten, Qualität, Hintergrundseiten, Eigenschaften, Strukturtags, Farbe und PDF/A?</x:v>
      </x:c>
      <x:c r="F13" s="7" t="str">
        <x:v>Alle Vordergrundseiten in Druckqualität
Aktuelle oder ausgewählte Seiten
Bildschirmqualität
PDF/A-1 mit oder ohne Eigenschaften und Strukturtags</x:v>
      </x:c>
      <x:c r="G13" s="7" t="str">
        <x:v>Wenn die PDF als vollständige Veröffentlichungsfassung dient, alle Vordergrundseiten in Druckqualität mit fachlich benötigten Hintergrundseiten, Dokumenteigenschaften und Strukturtags exportieren; PDF/A nur aktivieren, wenn Records Management es verlangt und die Musterdokumente die Darstellung bestätigen.</x:v>
      </x:c>
      <x:c r="H13" s="7" t="str">
        <x:v>Legt Vollständigkeit, Barrierearmut, Dateigröße, Druckqualität und Archivkonformität fest.</x:v>
      </x:c>
      <x:c r="I13" s="7" t="str">
        <x:v>Fachverantwortung gemeinsam mit Records Management und Barrierefreiheitsverantwortung</x:v>
      </x:c>
      <x:c r="J13" s="8" t="str"/>
      <x:c r="K13" s="8" t="str"/>
      <x:c r="L13" s="9" t="str"/>
      <x:c r="M13" s="7" t="str">
        <x:v>https://learn.microsoft.com/de-de/office/vba/api/visio.document.exportasfixedformat</x:v>
      </x:c>
    </x:row>
    <x:row r="14" ht="92" customHeight="1">
      <x:c r="A14" s="7" t="str">
        <x:v>CNV-004</x:v>
      </x:c>
      <x:c r="B14" s="7" t="str">
        <x:v>Visio- und PDF-Konvertierung</x:v>
      </x:c>
      <x:c r="C14" s="7" t="str">
        <x:v>Hoch</x:v>
      </x:c>
      <x:c r="D14" s="7" t="str">
        <x:v>Offen</x:v>
      </x:c>
      <x:c r="E14" s="7" t="str">
        <x:v>Wie werden Makros, externe Verknüpfungen, geschützte oder kennwortgesicherte Dateien und interaktive Dialoge behandelt?</x:v>
      </x:c>
      <x:c r="F14" s="7" t="str">
        <x:v>Read-only öffnen, Makros und Link-Updates deaktivieren, Problemdateien quarantänisieren
Makros und Links unter Servicekonto ausführen
Kennwörter technisch hinterlegen
Manuelle Nachbearbeitungswarteschlange</x:v>
      </x:c>
      <x:c r="G14" s="7" t="str">
        <x:v>Wenn Inhalte nicht einzeln sicherheitsgeprüft sind, read-only und ohne Makroausführung oder Link-Aktualisierung öffnen und jede Datei mit Dialog-, Schutz- oder Kennwortbedarf in eine manuelle Fehlerwarteschlange stellen; Ausnahmen nur nach separater Security-Freigabe zulassen.</x:v>
      </x:c>
      <x:c r="H14" s="7" t="str">
        <x:v>Reduziert Codeausführungs-, Datenabfluss- und Hänger-Risiken, kann aber dynamische Inhalte unverändert lassen.</x:v>
      </x:c>
      <x:c r="I14" s="7" t="str">
        <x:v>Informationssicherheit gemeinsam mit Fachverantwortung</x:v>
      </x:c>
      <x:c r="J14" s="8" t="str"/>
      <x:c r="K14" s="8" t="str"/>
      <x:c r="L14" s="9" t="str"/>
      <x:c r="M14" s="7" t="str">
        <x:v>https://support.microsoft.com/en-us/visio/considerations-for-server-side-automation-of-office
https://learn.microsoft.com/en-us/microsoft-365-apps/security/internet-macros-blocked</x:v>
      </x:c>
    </x:row>
    <x:row r="15" ht="92" customHeight="1">
      <x:c r="A15" s="7" t="str">
        <x:v>CNV-005</x:v>
      </x:c>
      <x:c r="B15" s="7" t="str">
        <x:v>Visio- und PDF-Konvertierung</x:v>
      </x:c>
      <x:c r="C15" s="7" t="str">
        <x:v>Hoch</x:v>
      </x:c>
      <x:c r="D15" s="7" t="str">
        <x:v>Offen</x:v>
      </x:c>
      <x:c r="E15" s="7" t="str">
        <x:v>Wie werden Konvertierungs-Timeout, Prozessisolation, COM-Lebenszyklus und Wiederanlauf definiert?</x:v>
      </x:c>
      <x:c r="F15" s="7" t="str">
        <x:v>Eine Visio-Instanz pro Datei
Eine Instanz pro Gesamtzyklus
Begrenzte Batches mit anschließendem Neustart
Kein harter Timeout</x:v>
      </x:c>
      <x:c r="G15" s="7" t="str">
        <x:v>Wenn COM genutzt wird, eine Instanz pro begrenztem Batch verwenden, je Dokument einen harten Timeout setzen, Dokumente deterministisch schließen und nach Fehler oder Batchende Visio beenden sowie COM-Referenzen freigeben; wenn Stabilität im Pilot nicht reicht, auf eine Instanz pro Datei reduzieren.</x:v>
      </x:c>
      <x:c r="H15" s="7" t="str">
        <x:v>Balanciert Durchsatz gegen Speicherlecks, blockierte Dialoge und Fehlerfortpflanzung auf nachfolgende Dateien.</x:v>
      </x:c>
      <x:c r="I15" s="7" t="str">
        <x:v>Application Owner gemeinsam mit Windows-Betrieb</x:v>
      </x:c>
      <x:c r="J15" s="8" t="str"/>
      <x:c r="K15" s="8" t="str"/>
      <x:c r="L15" s="9" t="str"/>
      <x:c r="M15" s="7" t="str">
        <x:v>https://support.microsoft.com/en-us/visio/considerations-for-server-side-automation-of-office</x:v>
      </x:c>
    </x:row>
    <x:row r="16" ht="92" customHeight="1">
      <x:c r="A16" s="7" t="str">
        <x:v>SP-001</x:v>
      </x:c>
      <x:c r="B16" s="7" t="str">
        <x:v>SharePoint und Zielstruktur</x:v>
      </x:c>
      <x:c r="C16" s="7" t="str">
        <x:v>Blocker</x:v>
      </x:c>
      <x:c r="D16" s="7" t="str">
        <x:v>Offen</x:v>
      </x:c>
      <x:c r="E16" s="7" t="str">
        <x:v>Handelt es sich um SharePoint Online oder SharePoint Server, in welcher Cloud, und welche API ist freigegeben?</x:v>
      </x:c>
      <x:c r="F16" s="7" t="str">
        <x:v>SharePoint Online in der weltweiten Microsoft-365-Cloud über Microsoft Graph v1.0
SharePoint Online in einer nationalen Cloud
SharePoint Server über SharePoint REST oder CSOM
PnP PowerShell als zusätzliche Abhängigkeit</x:v>
      </x:c>
      <x:c r="G16" s="7" t="str">
        <x:v>Wenn das Ziel SharePoint Online ist und die benötigten Funktionen in Graph v1.0 verfügbar sind, Microsoft Graph v1.0 verwenden; wenn SharePoint Server oder eine nationale Cloud betroffen ist, Endpunkte, Authentifizierung und API-Verfügbarkeit als eigene Integrationsvariante festschreiben.</x:v>
      </x:c>
      <x:c r="H16" s="7" t="str">
        <x:v>Bestimmt Endpunkte, Authentifizierung, Modulwahl, Funktionsumfang und Testumgebungen.</x:v>
      </x:c>
      <x:c r="I16" s="7" t="str">
        <x:v>Microsoft-365-/SharePoint-Architektur</x:v>
      </x:c>
      <x:c r="J16" s="8" t="str"/>
      <x:c r="K16" s="8" t="str"/>
      <x:c r="L16" s="9" t="str"/>
      <x:c r="M16" s="7" t="str">
        <x:v>https://learn.microsoft.com/en-us/graph/api/resources/site
https://learn.microsoft.com/en-us/sharepoint/dev/general-development/how-to-avoid-getting-throttled-or-blocked-in-sharepoint-online</x:v>
      </x:c>
    </x:row>
    <x:row r="17" ht="92" customHeight="1">
      <x:c r="A17" s="7" t="str">
        <x:v>SP-002</x:v>
      </x:c>
      <x:c r="B17" s="7" t="str">
        <x:v>SharePoint und Zielstruktur</x:v>
      </x:c>
      <x:c r="C17" s="7" t="str">
        <x:v>Blocker</x:v>
      </x:c>
      <x:c r="D17" s="7" t="str">
        <x:v>Offen</x:v>
      </x:c>
      <x:c r="E17" s="7" t="str">
        <x:v>Welche Tenant-, Site-, Dokumentbibliotheks- und Zielordnerkennung ist verbindlich und wie wird sie aufgelöst?</x:v>
      </x:c>
      <x:c r="F17" s="7" t="str">
        <x:v>Site-URL plus Bibliotheksname und Zielpfad zur Laufzeit auflösen
Tenant-ID, Site-ID, Drive-ID und Root-Item-ID konfigurieren
Standardbibliothek der Site annehmen
Separate IDs je Umgebung</x:v>
      </x:c>
      <x:c r="G17" s="7" t="str">
        <x:v>Wenn die Zielstruktur stabil administriert wird, Tenant-ID, Site-ID, Drive-ID und einen expliziten Rootpfad je Umgebung konfigurieren und beim Start gegen Namen und URL validieren; andernfalls URL/Namen kontrolliert auflösen, Ergebnis cachen und niemals ungeprüft die Standardbibliothek annehmen.</x:v>
      </x:c>
      <x:c r="H17" s="7" t="str">
        <x:v>Verhindert Uploads in falsche Sites oder Bibliotheken und schafft reproduzierbare Umgebungswechsel.</x:v>
      </x:c>
      <x:c r="I17" s="7" t="str">
        <x:v>SharePoint-Administration</x:v>
      </x:c>
      <x:c r="J17" s="8" t="str"/>
      <x:c r="K17" s="8" t="str"/>
      <x:c r="L17" s="9" t="str"/>
      <x:c r="M17" s="7" t="str">
        <x:v>https://learn.microsoft.com/en-us/graph/api/drive-list
https://learn.microsoft.com/en-us/graph/api/site-getbypath</x:v>
      </x:c>
    </x:row>
    <x:row r="18" ht="92" customHeight="1">
      <x:c r="A18" s="7" t="str">
        <x:v>SP-003</x:v>
      </x:c>
      <x:c r="B18" s="7" t="str">
        <x:v>SharePoint und Zielstruktur</x:v>
      </x:c>
      <x:c r="C18" s="7" t="str">
        <x:v>Hoch</x:v>
      </x:c>
      <x:c r="D18" s="7" t="str">
        <x:v>Offen</x:v>
      </x:c>
      <x:c r="E18" s="7" t="str">
        <x:v>Wie wird der relative Quellpfad in SharePoint-Ordner übersetzt und wie werden ungültige Zeichen, reservierte Namen, Groß-/Kleinschreibung und Pfadlängen behandelt?</x:v>
      </x:c>
      <x:c r="F18" s="7" t="str">
        <x:v>Relative Struktur unverändert spiegeln und bei Verstoß fehlschlagen
Deterministisch sanitizen und Mapping speichern
Struktur abflachen
Manuelle Path-Mapping-Tabelle</x:v>
      </x:c>
      <x:c r="G18" s="7" t="str">
        <x:v>Wenn alle Quellpfade SharePoint-konform sind, die relative Struktur unter dem konfigurierten Root exakt spiegeln; andernfalls ein fachlich freigegebenes, deterministisches Mapping mit Kollisionsprüfung und gespeichertem Originalpfad verwenden und betroffene Dateien nie stillschweigend abflachen oder umbenennen.</x:v>
      </x:c>
      <x:c r="H18" s="7" t="str">
        <x:v>Sichert die geforderte Ordnerstruktur und verhindert nicht nachvollziehbare Pfadkollisionen oder Uploadfehler.</x:v>
      </x:c>
      <x:c r="I18" s="7" t="str">
        <x:v>SharePoint-Administration gemeinsam mit Fachverantwortung</x:v>
      </x:c>
      <x:c r="J18" s="8" t="str"/>
      <x:c r="K18" s="8" t="str"/>
      <x:c r="L18" s="9" t="str"/>
      <x:c r="M18" s="7" t="str">
        <x:v>https://support.microsoft.com/office/64883a5d-228e-48f5-b3d2-eb39e07630fa
https://learn.microsoft.com/en-us/graph/api/driveitem-post-children</x:v>
      </x:c>
    </x:row>
    <x:row r="19" ht="92" customHeight="1">
      <x:c r="A19" s="7" t="str">
        <x:v>SP-004</x:v>
      </x:c>
      <x:c r="B19" s="7" t="str">
        <x:v>SharePoint und Zielstruktur</x:v>
      </x:c>
      <x:c r="C19" s="7" t="str">
        <x:v>Hoch</x:v>
      </x:c>
      <x:c r="D19" s="7" t="str">
        <x:v>Offen</x:v>
      </x:c>
      <x:c r="E19" s="7" t="str">
        <x:v>Welche Uploadstrategie und welche Bibliotheksfunktionen gelten für kleine und große PDFs, Versionierung, Auscheckpflicht und erforderliche Spalten?</x:v>
      </x:c>
      <x:c r="F19" s="7" t="str">
        <x:v>Einfacher Graph-PUT mit API-Limit 250 MB
Resumable Upload-Session gemäß Microsoft-Empfehlung bereits über 10 MiB
Sequenzielle Fragmente von 5 bis 10 MiB, stets unter 60 MiB und als Vielfache von 320 KiB
Upload plus Check-in, Publish oder Approval</x:v>
      </x:c>
      <x:c r="G19" s="7" t="str">
        <x:v>Wenn eine PDF höchstens 10 MiB groß ist und keine Wiederaufnahme benötigt, den einfachen PUT verwenden, dessen harte Grenze 250 MB beträgt; wenn sie größer als 10 MiB ist oder Wiederaufnahmefähigkeit benötigt wird, eine Upload-Session mit sequenziellen 5- bis 10-MiB-Fragmenten verwenden, die jeweils unter 60 MiB und Vielfache von 320 KiB sind, und beim Fragment-PUT an die vorautorisierte Upload-URL keinen Authorization-Header senden; wenn die Bibliothek Check-out, Inhaltsfreigabe oder Pflichtspalten erzwingt, den vollständigen Check-in-/Publish-/Metadatenablauf vor Implementierung spezifizieren.</x:v>
      </x:c>
      <x:c r="H19" s="7" t="str">
        <x:v>Bestimmt API-Aufrufe, Wiederaufnahmefähigkeit, Sichtbarkeit neuer Versionen, korrekte Fragmentierung und Fehlerfälle.</x:v>
      </x:c>
      <x:c r="I19" s="7" t="str">
        <x:v>SharePoint-Administration gemeinsam mit Application Owner</x:v>
      </x:c>
      <x:c r="J19" s="8" t="str"/>
      <x:c r="K19" s="8" t="str"/>
      <x:c r="L19" s="9" t="str"/>
      <x:c r="M19" s="7" t="str">
        <x:v>https://learn.microsoft.com/en-us/graph/api/driveitem-put-content
https://learn.microsoft.com/en-us/graph/api/driveitem-createuploadsession
https://support.microsoft.com/en-us/sharepoint/documents-and-library/upload-files-and-folders-to-a-library</x:v>
      </x:c>
    </x:row>
    <x:row r="20" ht="92" customHeight="1">
      <x:c r="A20" s="7" t="str">
        <x:v>SP-005</x:v>
      </x:c>
      <x:c r="B20" s="7" t="str">
        <x:v>SharePoint und Zielstruktur</x:v>
      </x:c>
      <x:c r="C20" s="7" t="str">
        <x:v>Hoch</x:v>
      </x:c>
      <x:c r="D20" s="7" t="str">
        <x:v>Offen</x:v>
      </x:c>
      <x:c r="E20" s="7" t="str">
        <x:v>Welche Metadaten, Inhaltstypen, Aufbewahrungs- oder Sensitivitätsvorgaben muss jede erzeugte PDF erhalten, und kann App-only bestehende Dateien danach weiter ersetzen?</x:v>
      </x:c>
      <x:c r="F20" s="7" t="str">
        <x:v>Dedizierte Bibliothek ohne Sensitivitätslabel für serviceverwaltete PDFs
Bibliotheks-, Default- oder Auto-Labeling nach Upload
Verpflichtendes Sensitivitätslabel mit alternativem, unterstütztem Aktualisierungsweg
Zusätzliche Felder für Quellpfad, Quellhash, Konvertierungszeit und Generatorversion</x:v>
      </x:c>
      <x:c r="G20" s="7" t="str">
        <x:v>Wenn die App per App-only bestehende PDFs aktualisieren muss, vorab mit Security und SharePoint klären und testen, ob Bibliotheks-, Default- oder Auto-Labeling ein Sensitivitätslabel anbringt, weil App-only den Inhalt einer sensitivitätsgelabelten Datei nicht ersetzen kann; wenn ein solches Label verpflichtend ist, einen von Microsoft unterstützten alternativen oder delegierten Aktualisierungsweg festlegen und gelabelte Ziele bis dahin nicht überschreiben; andernfalls mindestens Herkunftspfad, Quellhash, Konvertierungszeit und Generatorversion als Provenienz speichern.</x:v>
      </x:c>
      <x:c r="H20" s="7" t="str">
        <x:v>Kann App-only-Updates technisch verhindern und beeinflusst Bibliotheksdesign, Authentifizierungsmodell, Compliance, Fehlerbehandlung und zusätzliche API-Aufrufe.</x:v>
      </x:c>
      <x:c r="I20" s="7" t="str">
        <x:v>Records Management gemeinsam mit SharePoint-Administration, Informationssicherheit und Datenschutz</x:v>
      </x:c>
      <x:c r="J20" s="8" t="str"/>
      <x:c r="K20" s="8" t="str"/>
      <x:c r="L20" s="9" t="str"/>
      <x:c r="M20" s="7" t="str">
        <x:v>https://learn.microsoft.com/en-us/graph/api/driveitem-put-content
https://learn.microsoft.com/en-us/graph/api/driveitem-createuploadsession
https://learn.microsoft.com/en-us/graph/api/listitem-update
https://learn.microsoft.com/en-us/purview/retention-policies-sharepoint</x:v>
      </x:c>
    </x:row>
    <x:row r="21" ht="92" customHeight="1">
      <x:c r="A21" s="7" t="str">
        <x:v>SEC-001</x:v>
      </x:c>
      <x:c r="B21" s="7" t="str">
        <x:v>Identität und Sicherheit</x:v>
      </x:c>
      <x:c r="C21" s="7" t="str">
        <x:v>Blocker</x:v>
      </x:c>
      <x:c r="D21" s="7" t="str">
        <x:v>Offen</x:v>
      </x:c>
      <x:c r="E21" s="7" t="str">
        <x:v>Welche unbeaufsichtigte Authentifizierung gegenüber Microsoft Graph oder SharePoint wird eingesetzt?</x:v>
      </x:c>
      <x:c r="F21" s="7" t="str">
        <x:v>App-only mit Zertifikat
Managed Identity bei Azure-Hosting
Workload Identity Federation
Client Secret
Delegierte Benutzeranmeldung</x:v>
      </x:c>
      <x:c r="G21" s="7" t="str">
        <x:v>Wenn die Lösung in Azure läuft, Managed Identity bevorzugen; wenn sie lokal als geplanter Prozess läuft, App-only mit Zertifikat verwenden; Workload Federation bei passender Plattform zulassen; Client Secret nur befristet für Entwicklung und delegierte Anmeldung nur bei ausdrücklich geforderter Benutzerinteraktion einsetzen.</x:v>
      </x:c>
      <x:c r="H21" s="7" t="str">
        <x:v>Legt Tokenfluss, Betriebsfähigkeit ohne Benutzer, Credential-Lebenszyklus und Sicherheitsniveau fest.</x:v>
      </x:c>
      <x:c r="I21" s="7" t="str">
        <x:v>Entra-ID-Administration gemeinsam mit Informationssicherheit</x:v>
      </x:c>
      <x:c r="J21" s="8" t="str"/>
      <x:c r="K21" s="8" t="str"/>
      <x:c r="L21" s="9" t="str"/>
      <x:c r="M21" s="7" t="str">
        <x:v>https://learn.microsoft.com/en-us/entra/identity-platform/how-to-add-credentials
https://learn.microsoft.com/en-us/graph/auth-v2-service</x:v>
      </x:c>
    </x:row>
    <x:row r="22" ht="92" customHeight="1">
      <x:c r="A22" s="7" t="str">
        <x:v>SEC-002</x:v>
      </x:c>
      <x:c r="B22" s="7" t="str">
        <x:v>Identität und Sicherheit</x:v>
      </x:c>
      <x:c r="C22" s="7" t="str">
        <x:v>Blocker</x:v>
      </x:c>
      <x:c r="D22" s="7" t="str">
        <x:v>Offen</x:v>
      </x:c>
      <x:c r="E22" s="7" t="str">
        <x:v>Welche minimalen Graph- oder SharePoint-Berechtigungen und welcher Admin-Consent werden genehmigt?</x:v>
      </x:c>
      <x:c r="F22" s="7" t="str">
        <x:v>Sites.Selected mit expliziter Site-Zuweisung
Ausgewählte Operationen auf Liste, Ordner oder Datei
Sites.ReadWrite.All tenantweit
Delegierte Files.ReadWrite-Berechtigung</x:v>
      </x:c>
      <x:c r="G22" s="7" t="str">
        <x:v>Wenn die benötigten Datei- und Metadatenoperationen mit Selected Permissions funktionieren, den kleinsten passenden Selected-Scope plus explizite Schreibzuweisung nur am Ziel verwenden; tenantweites Sites.ReadWrite.All nur bei dokumentierter technischer Lücke und formeller Risikoakzeptanz freigeben.</x:v>
      </x:c>
      <x:c r="H22" s="7" t="str">
        <x:v>Bestimmt den maximalen Schadensradius der Anwendung und benötigt koordinierte Admin-Zustimmung sowie Ressourcenzuweisung.</x:v>
      </x:c>
      <x:c r="I22" s="7" t="str">
        <x:v>Entra-ID- und SharePoint-Administration gemeinsam mit Informationssicherheit</x:v>
      </x:c>
      <x:c r="J22" s="8" t="str"/>
      <x:c r="K22" s="8" t="str"/>
      <x:c r="L22" s="9" t="str"/>
      <x:c r="M22" s="7" t="str">
        <x:v>https://learn.microsoft.com/en-us/graph/permissions-selected-overview
https://learn.microsoft.com/en-us/graph/permissions-reference</x:v>
      </x:c>
    </x:row>
    <x:row r="23" ht="92" customHeight="1">
      <x:c r="A23" s="7" t="str">
        <x:v>SEC-003</x:v>
      </x:c>
      <x:c r="B23" s="7" t="str">
        <x:v>Identität und Sicherheit</x:v>
      </x:c>
      <x:c r="C23" s="7" t="str">
        <x:v>Hoch</x:v>
      </x:c>
      <x:c r="D23" s="7" t="str">
        <x:v>Offen</x:v>
      </x:c>
      <x:c r="E23" s="7" t="str">
        <x:v>Wo liegen private Schlüssel oder andere Credentials, wer darf darauf zugreifen und wie erfolgen Rotation und Ablaufalarmierung?</x:v>
      </x:c>
      <x:c r="F23" s="7" t="str">
        <x:v>Managed Identity ohne lokales Geheimnis
Azure Key Vault
Nicht exportierbarer Schlüssel im Windows-Zertifikatspeicher mit ACL für das Ausführungskonto
PowerShell SecretManagement mit freigegebenem Vault
Klartext in Konfiguration</x:v>
      </x:c>
      <x:c r="G23" s="7" t="str">
        <x:v>Wenn Azure-Hosting möglich ist, Managed Identity oder Key Vault verwenden; andernfalls einen nicht exportierbaren Zertifikatsschlüssel im Maschinen- oder Benutzerzertifikatspeicher mit minimaler ACL und überlappender Zertifikatsrotation einsetzen; Klartext-Credentials in Skript, Repository, Parametern oder Logs ausschließen.</x:v>
      </x:c>
      <x:c r="H23" s="7" t="str">
        <x:v>Verhindert Credential-Leaks und ungeplante Ausfälle durch Ablauf; erzeugt Aufgaben für Provisionierung, Backup und Rotation.</x:v>
      </x:c>
      <x:c r="I23" s="7" t="str">
        <x:v>Informationssicherheit gemeinsam mit Entra-ID- und Windows-Betrieb</x:v>
      </x:c>
      <x:c r="J23" s="8" t="str"/>
      <x:c r="K23" s="8" t="str"/>
      <x:c r="L23" s="9" t="str"/>
      <x:c r="M23" s="7" t="str">
        <x:v>https://learn.microsoft.com/en-us/entra/identity-platform/how-to-add-credentials
https://learn.microsoft.com/en-us/powershell/utility-modules/secretmanagement/overview</x:v>
      </x:c>
    </x:row>
    <x:row r="24" ht="92" customHeight="1">
      <x:c r="A24" s="7" t="str">
        <x:v>SEC-004</x:v>
      </x:c>
      <x:c r="B24" s="7" t="str">
        <x:v>Identität und Sicherheit</x:v>
      </x:c>
      <x:c r="C24" s="7" t="str">
        <x:v>Hoch</x:v>
      </x:c>
      <x:c r="D24" s="7" t="str">
        <x:v>Offen</x:v>
      </x:c>
      <x:c r="E24" s="7" t="str">
        <x:v>Welche Proxy-, Firewall-, TLS-, Protokollierungs- und Datenschutzregeln gelten für ausgehende Zugriffe und Diagnosedaten?</x:v>
      </x:c>
      <x:c r="F24" s="7" t="str">
        <x:v>Direkter HTTPS-Zugriff auf Entra und Microsoft Graph
Authentifizierter Unternehmensproxy
Explizite Endpoint-Allowlist
Zentrale Logs mit vollständigen Pfaden
Pseudonymisierte oder reduzierte Pfadangaben</x:v>
      </x:c>
      <x:c r="G24" s="7" t="str">
        <x:v>Wenn ein Unternehmensproxy vorgeschrieben ist, Token- und Uploadverkehr unter der echten Ausführungsidentität testen und nur freigegebene Microsoft-Endpunkte zulassen; wenn Dateinamen personenbezogene oder vertrauliche Daten enthalten können, Logs auf Hash oder relativen, freigegebenen Ausschnitt begrenzen und niemals Tokens, Zertifikatschlüssel oder Upload-Session-URLs protokollieren.</x:v>
      </x:c>
      <x:c r="H24" s="7" t="str">
        <x:v>Beeinflusst Erreichbarkeit, Fehlerdiagnose, Datenschutz und Risiko der Wiederverwendung sensibler URLs oder Tokens.</x:v>
      </x:c>
      <x:c r="I24" s="7" t="str">
        <x:v>Netzwerkbetrieb gemeinsam mit Informationssicherheit und Datenschutz</x:v>
      </x:c>
      <x:c r="J24" s="8" t="str"/>
      <x:c r="K24" s="8" t="str"/>
      <x:c r="L24" s="9" t="str"/>
      <x:c r="M24" s="7" t="str">
        <x:v>https://learn.microsoft.com/en-us/graph/best-practices-concept
https://learn.microsoft.com/en-us/graph/errors</x:v>
      </x:c>
    </x:row>
    <x:row r="25" ht="92" customHeight="1">
      <x:c r="A25" s="7" t="str">
        <x:v>SYN-001</x:v>
      </x:c>
      <x:c r="B25" s="7" t="str">
        <x:v>Synchronisationsregeln</x:v>
      </x:c>
      <x:c r="C25" s="7" t="str">
        <x:v>Blocker</x:v>
      </x:c>
      <x:c r="D25" s="7" t="str">
        <x:v>Offen</x:v>
      </x:c>
      <x:c r="E25" s="7" t="str">
        <x:v>Ist die Lösung strikt einseitig von Visio-Quelle zu generierter PDF in SharePoint, und wem gehören die Ziel-PDFs?</x:v>
      </x:c>
      <x:c r="F25" s="7" t="str">
        <x:v>Einseitige Veröffentlichung in eine serviceeigene Bibliothek oder einen serviceeigenen Root
Einseitig in eine gemischt genutzte Bibliothek
Bidirektionale Synchronisation
Manuelle Änderungen an PDFs zulassen</x:v>
      </x:c>
      <x:c r="G25" s="7" t="str">
        <x:v>Wenn SharePoint nur Publikationsziel ist, eine strikt einseitige Pipeline mit klar serviceeigenem Zielbereich festlegen und manuelle PDF-Änderungen dort untersagen; wenn Benutzer die PDFs bearbeiten dürfen, Konflikt- und Rückflussregeln als separates Produktfeature spezifizieren statt still zu überschreiben.</x:v>
      </x:c>
      <x:c r="H25" s="7" t="str">
        <x:v>Legt Datenhoheit, Überschreibschutz, Konfliktverhalten und Grenzen des Projekts fest.</x:v>
      </x:c>
      <x:c r="I25" s="7" t="str">
        <x:v>Fachlicher Product Owner gemeinsam mit SharePoint-Administration</x:v>
      </x:c>
      <x:c r="J25" s="8" t="str"/>
      <x:c r="K25" s="8" t="str"/>
      <x:c r="L25" s="9" t="str"/>
      <x:c r="M25" s="7" t="str"/>
    </x:row>
    <x:row r="26" ht="92" customHeight="1">
      <x:c r="A26" s="7" t="str">
        <x:v>SYN-002</x:v>
      </x:c>
      <x:c r="B26" s="7" t="str">
        <x:v>Synchronisationsregeln</x:v>
      </x:c>
      <x:c r="C26" s="7" t="str">
        <x:v>Blocker</x:v>
      </x:c>
      <x:c r="D26" s="7" t="str">
        <x:v>Offen</x:v>
      </x:c>
      <x:c r="E26" s="7" t="str">
        <x:v>Woran wird erkannt, dass neu konvertiert und hochgeladen werden muss?</x:v>
      </x:c>
      <x:c r="F26" s="7" t="str">
        <x:v>Immer konvertieren und ersetzen
Nur Änderungszeit und Größe vergleichen
SHA-256 des Quellinhalts plus Exportprofil- und Konverterversion vergleichen
Nur SharePoint-eTag verwenden</x:v>
      </x:c>
      <x:c r="G26" s="7" t="str">
        <x:v>Wenn unnötige Versionen vermieden und Inhaltssicherheit benötigt werden, SHA-256 des Quellinhalts zusammen mit Exportprofil- und Konverterversion als fachlichen Fingerprint speichern; Änderungszeit und Größe nur als schnellen Vorfilter verwenden; wenn der Bestand sehr klein ist und Versionen irrelevant sind, kann zunächst immer verarbeitet werden.</x:v>
      </x:c>
      <x:c r="H26" s="7" t="str">
        <x:v>Bestimmt Laufzeit, SharePoint-Versionenzahl, Erkennung geänderter Exportlogik und Robustheit gegenüber unzuverlässigen Zeitstempeln.</x:v>
      </x:c>
      <x:c r="I26" s="7" t="str">
        <x:v>Application Owner</x:v>
      </x:c>
      <x:c r="J26" s="8" t="str"/>
      <x:c r="K26" s="8" t="str"/>
      <x:c r="L26" s="9" t="str"/>
      <x:c r="M26" s="7" t="str">
        <x:v>https://learn.microsoft.com/en-us/powershell/module/microsoft.powershell.utility/get-filehash
https://learn.microsoft.com/en-us/graph/api/resources/driveitem</x:v>
      </x:c>
    </x:row>
    <x:row r="27" ht="92" customHeight="1">
      <x:c r="A27" s="7" t="str">
        <x:v>SYN-003</x:v>
      </x:c>
      <x:c r="B27" s="7" t="str">
        <x:v>Synchronisationsregeln</x:v>
      </x:c>
      <x:c r="C27" s="7" t="str">
        <x:v>Blocker</x:v>
      </x:c>
      <x:c r="D27" s="7" t="str">
        <x:v>Offen</x:v>
      </x:c>
      <x:c r="E27" s="7" t="str">
        <x:v>Was geschieht, wenn am berechneten Zielpfad bereits eine PDF vorhanden ist?</x:v>
      </x:c>
      <x:c r="F27" s="7" t="str">
        <x:v>Immer ersetzen
Nur ersetzen, wenn Provenienz oder gespeicherte Item-ID zur Quelle passt
Konfliktdatei umbenennen
Fehler melden und manuell klären</x:v>
      </x:c>
      <x:c r="G27" s="7" t="str">
        <x:v>Wenn der Zielbereich ausschließlich dem Dienst gehört, die PDF am exakten Pfad idempotent ersetzen; wenn die Bibliothek gemischt genutzt wird, nur ein eindeutig durch Item-ID oder Provenienz zugeordnetes Artefakt ersetzen und jeden anderen Namenskonflikt ohne automatische Umbenennung zur Klärung melden.</x:v>
      </x:c>
      <x:c r="H27" s="7" t="str">
        <x:v>Verhindert Datenverlust oder unkontrollierte Duplikate und definiert die Update-Semantik bestehender Dateien.</x:v>
      </x:c>
      <x:c r="I27" s="7" t="str">
        <x:v>Fachlicher Product Owner gemeinsam mit SharePoint-Administration</x:v>
      </x:c>
      <x:c r="J27" s="8" t="str"/>
      <x:c r="K27" s="8" t="str"/>
      <x:c r="L27" s="9" t="str"/>
      <x:c r="M27" s="7" t="str">
        <x:v>https://learn.microsoft.com/en-us/graph/api/driveitem-put-content
https://learn.microsoft.com/en-us/graph/api/resources/driveitem</x:v>
      </x:c>
    </x:row>
    <x:row r="28" ht="92" customHeight="1">
      <x:c r="A28" s="7" t="str">
        <x:v>SYN-004</x:v>
      </x:c>
      <x:c r="B28" s="7" t="str">
        <x:v>Synchronisationsregeln</x:v>
      </x:c>
      <x:c r="C28" s="7" t="str">
        <x:v>Hoch</x:v>
      </x:c>
      <x:c r="D28" s="7" t="str">
        <x:v>Offen</x:v>
      </x:c>
      <x:c r="E28" s="7" t="str">
        <x:v>Wie wird Konsistenz hergestellt, wenn sich die Quelle während Snapshot, Konvertierung oder Upload ändert?</x:v>
      </x:c>
      <x:c r="F28" s="7" t="str">
        <x:v>Direkt von der Netzwerkdatei konvertieren
Lokalen Snapshot konvertieren
Fingerprint nur vor Verarbeitung prüfen
Fingerprint vor und nach Verarbeitung prüfen und bei Abweichung verwerfen</x:v>
      </x:c>
      <x:c r="G28" s="7" t="str">
        <x:v>Wenn paralleles Speichern nicht ausgeschlossen werden kann, nach Stabilitätsprüfung einen lokalen Snapshot erstellen, dessen Fingerprint verwenden, vor Upload die Quelle erneut prüfen und das Ergebnis bei Abweichung verwerfen sowie später neu einplanen; andernfalls mindestens Snapshot und abschließende Quellprüfung beibehalten.</x:v>
      </x:c>
      <x:c r="H28" s="7" t="str">
        <x:v>Verhindert, dass eine formal erfolgreiche PDF einem nicht mehr aktuellen oder gemischten Quelldatenstand zugeordnet wird.</x:v>
      </x:c>
      <x:c r="I28" s="7" t="str">
        <x:v>Application Owner</x:v>
      </x:c>
      <x:c r="J28" s="8" t="str"/>
      <x:c r="K28" s="8" t="str"/>
      <x:c r="L28" s="9" t="str"/>
      <x:c r="M28" s="7" t="str">
        <x:v>https://learn.microsoft.com/en-us/dotnet/api/system.io.file.open
https://learn.microsoft.com/en-us/powershell/module/microsoft.powershell.utility/get-filehash</x:v>
      </x:c>
    </x:row>
    <x:row r="29" ht="92" customHeight="1">
      <x:c r="A29" s="7" t="str">
        <x:v>SYN-005</x:v>
      </x:c>
      <x:c r="B29" s="7" t="str">
        <x:v>Synchronisationsregeln</x:v>
      </x:c>
      <x:c r="C29" s="7" t="str">
        <x:v>Blocker</x:v>
      </x:c>
      <x:c r="D29" s="7" t="str">
        <x:v>Offen</x:v>
      </x:c>
      <x:c r="E29" s="7" t="str">
        <x:v>Wie werden gelöschte, umbenannte oder verschobene Quelldateien im SharePoint-Ziel behandelt?</x:v>
      </x:c>
      <x:c r="F29" s="7" t="str">
        <x:v>Ziel-PDF automatisch löschen
Ziel-PDF in einen Archivordner verschieben
Verwaiste PDF beibehalten und nur melden
Änderung erst nach Karenzzeit ausführen</x:v>
      </x:c>
      <x:c r="G29" s="7" t="str">
        <x:v>Wenn keine explizite Retention- und Löschfreigabe vorliegt, verwaiste Ziel-PDFs zunächst beibehalten und berichten; wenn ein echtes Spiegelmodell genehmigt wird, nur eindeutig dienstverwaltete Items nach konfigurierter Karenzzeit löschen oder archivieren und jede Aktion revisionsfähig protokollieren.</x:v>
      </x:c>
      <x:c r="H29" s="7" t="str">
        <x:v>Bestimmt Datenverlust-, Aufbewahrungs- und Recycle-Bin-Verhalten sowie Berechtigungsbedarf.</x:v>
      </x:c>
      <x:c r="I29" s="7" t="str">
        <x:v>Records Management gemeinsam mit Fachverantwortung und SharePoint-Administration</x:v>
      </x:c>
      <x:c r="J29" s="8" t="str"/>
      <x:c r="K29" s="8" t="str"/>
      <x:c r="L29" s="9" t="str"/>
      <x:c r="M29" s="7" t="str">
        <x:v>https://learn.microsoft.com/en-us/graph/api/driveitem-delete
https://learn.microsoft.com/en-us/purview/retention-policies-sharepoint</x:v>
      </x:c>
    </x:row>
    <x:row r="30" ht="92" customHeight="1">
      <x:c r="A30" s="7" t="str">
        <x:v>SYN-006</x:v>
      </x:c>
      <x:c r="B30" s="7" t="str">
        <x:v>Synchronisationsregeln</x:v>
      </x:c>
      <x:c r="C30" s="7" t="str">
        <x:v>Hoch</x:v>
      </x:c>
      <x:c r="D30" s="7" t="str">
        <x:v>Offen</x:v>
      </x:c>
      <x:c r="E30" s="7" t="str">
        <x:v>Wie werden Erstbefüllung, periodische Vollabstimmung und Abweichungen zwischen lokalem Zustand und SharePoint behandelt?</x:v>
      </x:c>
      <x:c r="F30" s="7" t="str">
        <x:v>Erstlauf als vollständiger Scan und danach inkrementell
Jeder Lauf scannt Quelle und SharePoint vollständig
Lokaler Status ohne Remote-Abgleich
Graph-Delta und periodische Reconciliation</x:v>
      </x:c>
      <x:c r="G30" s="7" t="str">
        <x:v>Wenn der Quellbestand überschaubar ist, Quelle vollständig scannen, aber nur geänderte Fingerprints verarbeiten und zusätzlich in größeren Abständen einen Remote-Abgleich durchführen; wenn der SharePoint-Bestand groß ist, Item-IDs sowie Delta-Link speichern und Graph Delta für Drift nutzen; niemals ausschließlich einem ungeprüften lokalen Zustand vertrauen.</x:v>
      </x:c>
      <x:c r="H30" s="7" t="str">
        <x:v>Legt Recovery nach Statusverlust, Erkennung manueller Eingriffe, API-Last und Throttling-Risiko fest.</x:v>
      </x:c>
      <x:c r="I30" s="7" t="str">
        <x:v>Application Owner gemeinsam mit Service Operations</x:v>
      </x:c>
      <x:c r="J30" s="8" t="str"/>
      <x:c r="K30" s="8" t="str"/>
      <x:c r="L30" s="9" t="str"/>
      <x:c r="M30" s="7" t="str">
        <x:v>https://learn.microsoft.com/en-us/graph/delta-query-overview
https://learn.microsoft.com/en-us/graph/api/driveitem-delta
https://learn.microsoft.com/en-us/graph/throttling</x:v>
      </x:c>
    </x:row>
    <x:row r="31" ht="92" customHeight="1">
      <x:c r="A31" s="7" t="str">
        <x:v>OPS-001</x:v>
      </x:c>
      <x:c r="B31" s="7" t="str">
        <x:v>Betrieb und Überwachung</x:v>
      </x:c>
      <x:c r="C31" s="7" t="str">
        <x:v>Blocker</x:v>
      </x:c>
      <x:c r="D31" s="7" t="str">
        <x:v>Offen</x:v>
      </x:c>
      <x:c r="E31" s="7" t="str">
        <x:v>In welchem Intervall und Betriebsfenster soll verarbeitet werden, und ist ein zyklischer Prozess oder ein Lauf pro Trigger gewünscht?</x:v>
      </x:c>
      <x:c r="F31" s="7" t="str">
        <x:v>Windows-Aufgabenplanung mit Run-to-completion alle N Minuten
Dauerprozess mit internem Timer
Dateisystem-Watcher plus periodischer Scan
Manueller Lauf</x:v>
      </x:c>
      <x:c r="G31" s="7" t="str">
        <x:v>Wenn eine Aktualität im Minuten- bis Stundenbereich genügt, einen idempotenten Run-to-completion per Aufgabenplanung mit Überlappungsschutz verwenden; wenn Sub-Minuten-Latenz oder kontinuierliche Warteschlangenverarbeitung gefordert ist, einen echten Dienst plus periodischen Reconciliation-Scan entwerfen.</x:v>
      </x:c>
      <x:c r="H31" s="7" t="str">
        <x:v>Bestimmt Prozessmodell, Wiederanlauf, Ressourcenverbrauch, Deployment und erreichbare Aktualität.</x:v>
      </x:c>
      <x:c r="I31" s="7" t="str">
        <x:v>Service Owner gemeinsam mit Windows-Betrieb</x:v>
      </x:c>
      <x:c r="J31" s="8" t="str"/>
      <x:c r="K31" s="8" t="str"/>
      <x:c r="L31" s="9" t="str"/>
      <x:c r="M31" s="7" t="str">
        <x:v>https://learn.microsoft.com/en-us/powershell/module/scheduledtasks/new-scheduledtask
https://learn.microsoft.com/en-us/powershell/module/scheduledtasks/new-scheduledtasksettingsset</x:v>
      </x:c>
    </x:row>
    <x:row r="32" ht="92" customHeight="1">
      <x:c r="A32" s="7" t="str">
        <x:v>OPS-002</x:v>
      </x:c>
      <x:c r="B32" s="7" t="str">
        <x:v>Betrieb und Überwachung</x:v>
      </x:c>
      <x:c r="C32" s="7" t="str">
        <x:v>Hoch</x:v>
      </x:c>
      <x:c r="D32" s="7" t="str">
        <x:v>Offen</x:v>
      </x:c>
      <x:c r="E32" s="7" t="str">
        <x:v>Wie werden parallele Läufe, transiente Fehler, API-Throttling und dauerhaft fehlerhafte Dateien behandelt?</x:v>
      </x:c>
      <x:c r="F32" s="7" t="str">
        <x:v>Kein Überlappungsschutz und sofortige Wiederholung
Hostweiter Mutex oder exklusiver Lock
Begrenzte Retries mit Retry-After, exponentiellem Backoff und Jitter
Dead-Letter-/Fehlerliste nach Retry-Limit</x:v>
      </x:c>
      <x:c r="G32" s="7" t="str">
        <x:v>Wenn nur eine Instanz pro Ziel erlaubt ist, einen host- und zielbezogenen Mutex mit Run-ID verwenden; bei 429 den Retry-After-Wert respektieren und bei transienten Netzwerk- oder 5xx-Fehlern begrenzt exponentiell mit Jitter wiederholen; dauerhafte Datei- oder 4xx-Fehler ohne Endlosschleife in die Fehlerliste überführen.</x:v>
      </x:c>
      <x:c r="H32" s="7" t="str">
        <x:v>Verhindert doppelte Versionen, API-Überlastung, Endlosschleifen und konkurrierende COM-Prozesse.</x:v>
      </x:c>
      <x:c r="I32" s="7" t="str">
        <x:v>Application Owner gemeinsam mit Service Operations</x:v>
      </x:c>
      <x:c r="J32" s="8" t="str"/>
      <x:c r="K32" s="8" t="str"/>
      <x:c r="L32" s="9" t="str"/>
      <x:c r="M32" s="7" t="str">
        <x:v>https://learn.microsoft.com/en-us/graph/throttling
https://learn.microsoft.com/en-us/graph/errors</x:v>
      </x:c>
    </x:row>
    <x:row r="33" ht="92" customHeight="1">
      <x:c r="A33" s="7" t="str">
        <x:v>OPS-003</x:v>
      </x:c>
      <x:c r="B33" s="7" t="str">
        <x:v>Betrieb und Überwachung</x:v>
      </x:c>
      <x:c r="C33" s="7" t="str">
        <x:v>Hoch</x:v>
      </x:c>
      <x:c r="D33" s="7" t="str">
        <x:v>Offen</x:v>
      </x:c>
      <x:c r="E33" s="7" t="str">
        <x:v>Wo wird der dauerhafte Synchronisationszustand gespeichert, wie wird atomar geschrieben und wie erfolgt Recovery?</x:v>
      </x:c>
      <x:c r="F33" s="7" t="str">
        <x:v>Atomar ersetzte JSON-Datei auf lokalem persistentem Datenträger
SQLite-Datenbank
Zentrale Datenbank
Ausschließlich SharePoint-Metadaten ohne lokalen Zustand</x:v>
      </x:c>
      <x:c r="G33" s="7" t="str">
        <x:v>Wenn ein einzelner Host und ein kleiner bis mittlerer Bestand erwartet werden, eine schema-versionierte JSON-State-Datei per Write-temp-and-rename mit Backup verwenden; wenn Parallelität, sehr viele Dateien oder detaillierte Historie gefordert sind, SQLite oder eine zentrale Datenbank wählen; nach Statusverlust muss ein vollständiger sicherer Reconciliation-Lauf möglich sein.</x:v>
      </x:c>
      <x:c r="H33" s="7" t="str">
        <x:v>Beeinflusst Abhängigkeiten, Crash-Konsistenz, Upgradefähigkeit, Backup und Wiederherstellungszeit.</x:v>
      </x:c>
      <x:c r="I33" s="7" t="str">
        <x:v>Application Owner gemeinsam mit Service Operations</x:v>
      </x:c>
      <x:c r="J33" s="8" t="str"/>
      <x:c r="K33" s="8" t="str"/>
      <x:c r="L33" s="9" t="str"/>
      <x:c r="M33" s="7" t="str"/>
    </x:row>
    <x:row r="34" ht="92" customHeight="1">
      <x:c r="A34" s="7" t="str">
        <x:v>OPS-004</x:v>
      </x:c>
      <x:c r="B34" s="7" t="str">
        <x:v>Betrieb und Überwachung</x:v>
      </x:c>
      <x:c r="C34" s="7" t="str">
        <x:v>Hoch</x:v>
      </x:c>
      <x:c r="D34" s="7" t="str">
        <x:v>Offen</x:v>
      </x:c>
      <x:c r="E34" s="7" t="str">
        <x:v>Welche strukturierten Logs, Kennzahlen, Korrelationen und Alarme werden benötigt und wohin werden sie geliefert?</x:v>
      </x:c>
      <x:c r="F34" s="7" t="str">
        <x:v>Lokale JSONL-Logs und Laufzusammenfassung
Windows Event Log
Zentrale Plattform wie Azure Monitor oder SIEM
Nur Konsolenausgabe</x:v>
      </x:c>
      <x:c r="G34" s="7" t="str">
        <x:v>Wenn eine zentrale Betriebsplattform vorhanden ist, strukturierte Ereignisse mit Run-ID, Dateiresultat, Dauer, Retry-Anzahl, HTTP-Status und Microsoft-Request-ID dorthin senden; andernfalls rotierende JSONL-Logs plus Windows-Event-Laufsummary nutzen; Geheimnisse und nicht freigegebene vollständige Pfade redigieren.</x:v>
      </x:c>
      <x:c r="H34" s="7" t="str">
        <x:v>Bestimmt Erkennbarkeit von Ausfällen, Datenschutz, Supportdauer und Nachweis einzelner Dateiaktionen.</x:v>
      </x:c>
      <x:c r="I34" s="7" t="str">
        <x:v>Service Operations gemeinsam mit Informationssicherheit</x:v>
      </x:c>
      <x:c r="J34" s="8" t="str"/>
      <x:c r="K34" s="8" t="str"/>
      <x:c r="L34" s="9" t="str"/>
      <x:c r="M34" s="7" t="str">
        <x:v>https://learn.microsoft.com/en-us/powershell/module/microsoft.powershell.core/about/about_logging_windows
https://learn.microsoft.com/en-us/graph/errors</x:v>
      </x:c>
    </x:row>
    <x:row r="35" ht="92" customHeight="1">
      <x:c r="A35" s="7" t="str">
        <x:v>OPS-005</x:v>
      </x:c>
      <x:c r="B35" s="7" t="str">
        <x:v>Betrieb und Überwachung</x:v>
      </x:c>
      <x:c r="C35" s="7" t="str">
        <x:v>Mittel</x:v>
      </x:c>
      <x:c r="D35" s="7" t="str">
        <x:v>Offen</x:v>
      </x:c>
      <x:c r="E35" s="7" t="str">
        <x:v>Welche Regeln gelten für temporäre Snapshots, erzeugte PDFs, Quarantänedateien, Logrotation und freien Speicher?</x:v>
      </x:c>
      <x:c r="F35" s="7" t="str">
        <x:v>Erfolgreiche Temporärdateien sofort löschen und Fehlerartefakte befristet behalten
Lokalen PDF-Cache dauerhaft behalten
Alle Artefakte nach jedem Lauf löschen
Quarantäne auf separatem geschütztem Speicher</x:v>
      </x:c>
      <x:c r="G35" s="7" t="str">
        <x:v>Wenn Diagnosefähigkeit benötigt wird, erfolgreiche Temporärartefakte nach verifiziertem Upload löschen, Fehlerartefakte in einem zugriffsgeschützten Bereich nur für eine genehmigte Frist behalten und Logs größen- sowie zeitbasiert rotieren; wenn Quelldaten besonders sensibel sind, auch Fehlerartefakte unmittelbar löschen und nur Fingerprints protokollieren.</x:v>
      </x:c>
      <x:c r="H35" s="7" t="str">
        <x:v>Beeinflusst Speicherbedarf, Datenschutz, Forensik und Wiederholgeschwindigkeit.</x:v>
      </x:c>
      <x:c r="I35" s="7" t="str">
        <x:v>Service Operations gemeinsam mit Datenschutz</x:v>
      </x:c>
      <x:c r="J35" s="8" t="str"/>
      <x:c r="K35" s="8" t="str"/>
      <x:c r="L35" s="9" t="str"/>
      <x:c r="M35" s="7" t="str"/>
    </x:row>
    <x:row r="36" ht="92" customHeight="1">
      <x:c r="A36" s="7" t="str">
        <x:v>ACC-001</x:v>
      </x:c>
      <x:c r="B36" s="7" t="str">
        <x:v>Abnahme und Freigabe</x:v>
      </x:c>
      <x:c r="C36" s="7" t="str">
        <x:v>Blocker</x:v>
      </x:c>
      <x:c r="D36" s="7" t="str">
        <x:v>Offen</x:v>
      </x:c>
      <x:c r="E36" s="7" t="str">
        <x:v>Welche repräsentativen Testdateien und objektiven Kriterien definieren die fachlich korrekte PDF und Pfadabbildung?</x:v>
      </x:c>
      <x:c r="F36" s="7" t="str">
        <x:v>Golden Set mit einfacher, mehrseitiger, Makro-, Legacy-, geschützter und fehlerhafter Datei
Nur Sichtprüfung einzelner Beispiele
Automatischer Vergleich von Seitenzahl, PDF-Signatur, Metadaten und Zielpfad
Pixel- oder Rendervergleich mit freigegebener Toleranz</x:v>
      </x:c>
      <x:c r="G36" s="7" t="str">
        <x:v>Wenn Darstellungsgenauigkeit geschäftskritisch ist, ein versioniertes Golden Set mit positiven und negativen Fällen bereitstellen und Seitenzahl, Dateityp, Zielpfad, Aktualisierung sowie visuellen Vergleich mit definierter Toleranz abnehmen; andernfalls mindestens automatisierte Strukturprüfung plus fachliche Stichprobe verlangen.</x:v>
      </x:c>
      <x:c r="H36" s="7" t="str">
        <x:v>Macht Qualität messbar und verhindert eine technische Abnahme trotz fehlender oder falsch gerenderter Inhalte.</x:v>
      </x:c>
      <x:c r="I36" s="7" t="str">
        <x:v>Fachlicher Product Owner gemeinsam mit Qualitätssicherung</x:v>
      </x:c>
      <x:c r="J36" s="8" t="str"/>
      <x:c r="K36" s="8" t="str"/>
      <x:c r="L36" s="9" t="str"/>
      <x:c r="M36" s="7" t="str">
        <x:v>https://learn.microsoft.com/de-de/office/vba/api/visio.document.exportasfixedformat</x:v>
      </x:c>
    </x:row>
    <x:row r="37" ht="92" customHeight="1">
      <x:c r="A37" s="7" t="str">
        <x:v>ACC-002</x:v>
      </x:c>
      <x:c r="B37" s="7" t="str">
        <x:v>Abnahme und Freigabe</x:v>
      </x:c>
      <x:c r="C37" s="7" t="str">
        <x:v>Hoch</x:v>
      </x:c>
      <x:c r="D37" s="7" t="str">
        <x:v>Offen</x:v>
      </x:c>
      <x:c r="E37" s="7" t="str">
        <x:v>Welche Bestandsgrößen und nichtfunktionalen Ziele gelten für Dateizahl, Maximalgröße, Pfadtiefe, Zyklusdauer, Aktualitäts-SLA und Fehlerrate?</x:v>
      </x:c>
      <x:c r="F37" s="7" t="str">
        <x:v>Ist-Bestand plus p95 und Maximum erheben
Feste Zielwerte ohne Messung vorgeben
Pilot mit doppeltem p95-Volumen
Keine expliziten Leistungsziele</x:v>
      </x:c>
      <x:c r="G37" s="7" t="str">
        <x:v>Wenn reale Messdaten verfügbar sind, p95 und Maximum für Anzahl, Größe und Tiefe erheben und Zyklusdauer sowie Aktualitäts-SLA darauf festlegen; andernfalls vor Freigabe einen Pilot mit mindestens dem erwarteten Spitzenvolumen und Grenzfällen durchführen und dokumentierte Zielwerte daraus ableiten.</x:v>
      </x:c>
      <x:c r="H37" s="7" t="str">
        <x:v>Dimensioniert Host, Intervall, Batchgröße, Timeout, Uploadstrategie und Monitoring-Schwellen.</x:v>
      </x:c>
      <x:c r="I37" s="7" t="str">
        <x:v>Service Owner gemeinsam mit Fachverantwortung und Service Operations</x:v>
      </x:c>
      <x:c r="J37" s="8" t="str"/>
      <x:c r="K37" s="8" t="str"/>
      <x:c r="L37" s="9" t="str"/>
      <x:c r="M37" s="7" t="str">
        <x:v>https://learn.microsoft.com/en-us/office365/servicedescriptions/sharepoint-online-service-description/sharepoint-online-limits
https://support.microsoft.com/en-us/onedrive/what-are-file-path-length-limits</x:v>
      </x:c>
    </x:row>
    <x:row r="38" ht="92" customHeight="1">
      <x:c r="A38" s="7" t="str">
        <x:v>ACC-003</x:v>
      </x:c>
      <x:c r="B38" s="7" t="str">
        <x:v>Abnahme und Freigabe</x:v>
      </x:c>
      <x:c r="C38" s="7" t="str">
        <x:v>Blocker</x:v>
      </x:c>
      <x:c r="D38" s="7" t="str">
        <x:v>Offen</x:v>
      </x:c>
      <x:c r="E38" s="7" t="str">
        <x:v>Welche formellen Freigaben sind vor Produktivbetrieb für Office-Automatisierung, Lizenzierung, App-Berechtigung, Datenschutz, Retention und Löschverhalten erforderlich?</x:v>
      </x:c>
      <x:c r="F38" s="7" t="str">
        <x:v>Gemeinsames Architektur- und Security-Sign-off
Einzelfreigaben durch zuständige Kontrollfunktionen
Dokumentierte Risikoakzeptanz für Visio-COM
Keine formelle Freigabe</x:v>
      </x:c>
      <x:c r="G38" s="7" t="str">
        <x:v>Wenn Visio-COM unbeaufsichtigt eingesetzt wird, vor Pilot eine benannte Risikoakzeptanz und Lizenzbestätigung einholen; unabhängig vom Renderer vor Produktion Least-Privilege-, Datenschutz-, Retention- und Löschfreigaben dokumentieren; ohne erforderliche Freigabe nur Dry-run ohne SharePoint-Schreibzugriff zulassen.</x:v>
      </x:c>
      <x:c r="H38" s="7" t="str">
        <x:v>Ist das Go-live-Gate für Supportfähigkeit, Compliance und zulässigen Zugriff auf Quelle sowie Ziel.</x:v>
      </x:c>
      <x:c r="I38" s="7" t="str">
        <x:v>Service Owner gemeinsam mit Enterprise Architecture, Informationssicherheit, Lizenzmanagement und Records Management</x:v>
      </x:c>
      <x:c r="J38" s="8" t="str"/>
      <x:c r="K38" s="8" t="str"/>
      <x:c r="L38" s="9" t="str"/>
      <x:c r="M38" s="7" t="str">
        <x:v>https://support.microsoft.com/en-us/visio/considerations-for-server-side-automation-of-office
https://learn.microsoft.com/en-us/graph/permissions-selected-overview</x:v>
      </x:c>
    </x:row>
    <x:row r="39" ht="92" customHeight="1">
      <x:c r="A39" s="7" t="str">
        <x:v>ACC-004</x:v>
      </x:c>
      <x:c r="B39" s="7" t="str">
        <x:v>Abnahme und Freigabe</x:v>
      </x:c>
      <x:c r="C39" s="7" t="str">
        <x:v>Hoch</x:v>
      </x:c>
      <x:c r="D39" s="7" t="str">
        <x:v>Offen</x:v>
      </x:c>
      <x:c r="E39" s="7" t="str">
        <x:v>Wie sehen Pilot, Dry-run, Produktionsfreigabe, Rollback und dauerhafte Betriebsverantwortung aus?</x:v>
      </x:c>
      <x:c r="F39" s="7" t="str">
        <x:v>Dry-run mit Planbericht ohne Konvertierung und Upload
Shadow-Pilot in separater Bibliothek
Begrenzter Quellunterbaum im Produktionsziel
Big-Bang-Einführung
Rollback durch Deaktivieren des Triggers und Entzug der App-Zuweisung</x:v>
      </x:c>
      <x:c r="G39" s="7" t="str">
        <x:v>Wenn ein separates Testziel verfügbar ist, zuerst Dry-run, dann Golden-Set- und Volumenpilot in einer Shadow-Bibliothek und anschließend stufenweise Freigabe durchführen; andernfalls einen klar begrenzten Quellunterbaum pilotieren; Rollback deaktiviert den Trigger und Schreibzugriff, löscht erzeugte Dateien aber erst nach fachlicher Freigabe.</x:v>
      </x:c>
      <x:c r="H39" s="7" t="str">
        <x:v>Begrenzt Fehlpublikationen, macht Abbruch reversibel und klärt Übergabe, Rufbereitschaft und Nachpflege.</x:v>
      </x:c>
      <x:c r="I39" s="7" t="str">
        <x:v>Service Owner gemeinsam mit Change Management und Service Operations</x:v>
      </x:c>
      <x:c r="J39" s="8" t="str"/>
      <x:c r="K39" s="8" t="str"/>
      <x:c r="L39" s="9" t="str"/>
      <x:c r="M39" s="7" t="str"/>
    </x:row>
  </x:sheetData>
  <x:conditionalFormatting sqref="C2:C39">
    <x:cfRule type="containsText" dxfId="0" priority="1" operator="containsText" text="Blocker"/>
    <x:cfRule type="containsText" dxfId="1" priority="2" operator="containsText" text="Hoch"/>
  </x:conditionalFormatting>
  <x:conditionalFormatting sqref="D2:D39">
    <x:cfRule type="containsText" dxfId="2" priority="3" operator="containsText" text="Offen"/>
    <x:cfRule type="containsText" dxfId="3" priority="4" operator="containsText" text="In Klärung"/>
    <x:cfRule type="containsText" dxfId="4" priority="5" operator="containsText" text="Entschieden"/>
    <x:cfRule type="containsText" dxfId="5" priority="6" operator="containsText" text="Nicht relevant"/>
  </x:conditionalFormatting>
  <x:dataValidations count="2">
    <x:dataValidation type="list" sqref="C2:C39">
      <x:formula1>"Blocker,Hoch,Mittel"</x:formula1>
    </x:dataValidation>
    <x:dataValidation type="list" sqref="D2:D39">
      <x:formula1>"Offen,In Klärung,Entschieden,Nicht relevant"</x:formula1>
    </x:dataValidation>
  </x:dataValidations>
  <x:pageMargins left="0.7" right="0.7" top="0.75" bottom="0.75" header="0.3" footer="0.3"/>
  <x:tableParts count="1">
    <x:tablePart xmlns:r="http://schemas.openxmlformats.org/officeDocument/2006/relationships" r:id="Rb8c13935ec864c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 min="3" max="3" width="42" hidden="0" customWidth="1"/>
    <x:col min="4" max="4" width="30" hidden="0" customWidth="1"/>
  </x:cols>
  <x:sheetData>
    <x:row r="1" ht="34" customHeight="1">
      <x:c r="A1" s="12" t="str">
        <x:v>Hinweise zur Pflege und technischen Einordnung</x:v>
      </x:c>
      <x:c r="B1" s="12"/>
      <x:c r="C1" s="12"/>
      <x:c r="D1" s="12"/>
    </x:row>
    <x:row r="3">
      <x:c r="A3" s="66" t="str">
        <x:v>Excel ist die führende Fassung. Entscheidungen werden hier zuerst gepflegt; der Markdown-Snapshot wird nur zu abgestimmten Meilensteinen aktualisiert.</x:v>
      </x:c>
      <x:c r="B3" s="67"/>
      <x:c r="C3" s="67"/>
      <x:c r="D3" s="68"/>
    </x:row>
    <x:row r="4">
      <x:c r="A4" s="69"/>
      <x:c r="B4" s="70"/>
      <x:c r="C4" s="70"/>
      <x:c r="D4" s="71"/>
    </x:row>
    <x:row r="6">
      <x:c r="A6" s="76" t="str">
        <x:v>Schritt</x:v>
      </x:c>
      <x:c r="B6" s="77" t="str">
        <x:v>Aktion</x:v>
      </x:c>
      <x:c r="C6" s="77" t="str">
        <x:v>Ergebnis</x:v>
      </x:c>
      <x:c r="D6" s="78" t="str">
        <x:v>Verantwortung</x:v>
      </x:c>
    </x:row>
    <x:row r="7" ht="42" customHeight="1">
      <x:c r="A7" s="79" t="n">
        <x:v>1</x:v>
      </x:c>
      <x:c r="B7" s="79" t="str">
        <x:v>Blocker fachlich und technisch zuordnen</x:v>
      </x:c>
      <x:c r="C7" s="79" t="str">
        <x:v>Zuständigkeit und Termin stehen fest</x:v>
      </x:c>
      <x:c r="D7" s="79" t="str">
        <x:v>Projektleitung</x:v>
      </x:c>
    </x:row>
    <x:row r="8" ht="42" customHeight="1">
      <x:c r="A8" s="79" t="n">
        <x:v>2</x:v>
      </x:c>
      <x:c r="B8" s="79" t="str">
        <x:v>Optionen und Empfehlung prüfen</x:v>
      </x:c>
      <x:c r="C8" s="79" t="str">
        <x:v>Abhängigkeiten sind verstanden</x:v>
      </x:c>
      <x:c r="D8" s="79" t="str">
        <x:v>Technische Fachrolle</x:v>
      </x:c>
    </x:row>
    <x:row r="9" ht="42" customHeight="1">
      <x:c r="A9" s="79" t="n">
        <x:v>3</x:v>
      </x:c>
      <x:c r="B9" s="79" t="str">
        <x:v>Status, Entscheidung und Begründung pflegen</x:v>
      </x:c>
      <x:c r="C9" s="79" t="str">
        <x:v>Entscheidung ist auditierbar</x:v>
      </x:c>
      <x:c r="D9" s="79" t="str">
        <x:v>Entscheidungsverantwortliche</x:v>
      </x:c>
    </x:row>
    <x:row r="10" ht="42" customHeight="1">
      <x:c r="A10" s="79" t="n">
        <x:v>4</x:v>
      </x:c>
      <x:c r="B10" s="79" t="str">
        <x:v>Konfiguration anhand der Entscheidung ergänzen</x:v>
      </x:c>
      <x:c r="C10" s="79" t="str">
        <x:v>Validator meldet keine offenen Blocker</x:v>
      </x:c>
      <x:c r="D10" s="79" t="str">
        <x:v>Entwicklung / Betrieb</x:v>
      </x:c>
    </x:row>
    <x:row r="11" ht="42" customHeight="1">
      <x:c r="A11" s="79" t="n">
        <x:v>5</x:v>
      </x:c>
      <x:c r="B11" s="79" t="str">
        <x:v>Markdown-Snapshot aktualisieren</x:v>
      </x:c>
      <x:c r="C11" s="79" t="str">
        <x:v>Git-Stand dokumentiert den Meilenstein</x:v>
      </x:c>
      <x:c r="D11" s="79" t="str">
        <x:v>Projektleitung</x:v>
      </x:c>
    </x:row>
    <x:row r="12" ht="42" customHeight="1">
      <x:c r="A12" s="79"/>
      <x:c r="B12" s="79"/>
      <x:c r="C12" s="79"/>
      <x:c r="D12" s="79"/>
    </x:row>
    <x:row r="13" ht="42" customHeight="1">
      <x:c r="A13" s="76" t="str">
        <x:v>Status</x:v>
      </x:c>
      <x:c r="B13" s="77" t="str">
        <x:v>Bedeutung</x:v>
      </x:c>
      <x:c r="C13" s="77" t="str">
        <x:v>Wann verwenden</x:v>
      </x:c>
      <x:c r="D13" s="78" t="str">
        <x:v>Folge</x:v>
      </x:c>
    </x:row>
    <x:row r="14" ht="42" customHeight="1">
      <x:c r="A14" s="79" t="str">
        <x:v>Offen</x:v>
      </x:c>
      <x:c r="B14" s="79" t="str">
        <x:v>Noch keine belastbare Entscheidung</x:v>
      </x:c>
      <x:c r="C14" s="79" t="str">
        <x:v>Initialzustand</x:v>
      </x:c>
      <x:c r="D14" s="79" t="str">
        <x:v>Blocker verhindert produktive Umsetzung</x:v>
      </x:c>
    </x:row>
    <x:row r="15" ht="42" customHeight="1">
      <x:c r="A15" s="79" t="str">
        <x:v>In Klärung</x:v>
      </x:c>
      <x:c r="B15" s="79" t="str">
        <x:v>Verantwortliche arbeiten an der Entscheidung</x:v>
      </x:c>
      <x:c r="C15" s="79" t="str">
        <x:v>Optionen werden bewertet</x:v>
      </x:c>
      <x:c r="D15" s="79" t="str">
        <x:v>Termin und Besitzer pflegen</x:v>
      </x:c>
    </x:row>
    <x:row r="16" ht="42" customHeight="1">
      <x:c r="A16" s="79" t="str">
        <x:v>Entschieden</x:v>
      </x:c>
      <x:c r="B16" s="79" t="str">
        <x:v>Entscheidung und Begründung sind dokumentiert</x:v>
      </x:c>
      <x:c r="C16" s="79" t="str">
        <x:v>Freigabe liegt vor</x:v>
      </x:c>
      <x:c r="D16" s="79" t="str">
        <x:v>Konfiguration darf angepasst werden</x:v>
      </x:c>
    </x:row>
    <x:row r="17" ht="42" customHeight="1">
      <x:c r="A17" s="79" t="str">
        <x:v>Nicht relevant</x:v>
      </x:c>
      <x:c r="B17" s="79" t="str">
        <x:v>Frage trifft nachweislich nicht zu</x:v>
      </x:c>
      <x:c r="C17" s="79" t="str">
        <x:v>Begründung ist erforderlich</x:v>
      </x:c>
      <x:c r="D17" s="79" t="str">
        <x:v>Keine weitere Umsetzung</x:v>
      </x:c>
    </x:row>
    <x:row r="18" ht="42" customHeight="1">
      <x:c r="A18" s="79"/>
      <x:c r="B18" s="79"/>
      <x:c r="C18" s="79"/>
      <x:c r="D18" s="79"/>
    </x:row>
    <x:row r="19" ht="42" customHeight="1">
      <x:c r="A19" s="76" t="str">
        <x:v>Technische Referenz</x:v>
      </x:c>
      <x:c r="B19" s="78" t="str">
        <x:v>Microsoft-Primärquelle</x:v>
      </x:c>
      <x:c r="C19" s="79"/>
      <x:c r="D19" s="79"/>
    </x:row>
    <x:row r="20" ht="58" customHeight="1">
      <x:c r="A20" s="79" t="str">
        <x:v>Unbeaufsichtigte Office-Automatisierung</x:v>
      </x:c>
      <x:c r="B20" s="79" t="str">
        <x:v>https://learn.microsoft.com/en-us/office/client-developer/integration/considerations-unattended-automation-office-microsoft-365-for-unattended-rpa</x:v>
      </x:c>
      <x:c r="C20" s="79"/>
      <x:c r="D20" s="79"/>
    </x:row>
    <x:row r="21" ht="58" customHeight="1">
      <x:c r="A21" s="79" t="str">
        <x:v>Graph-Formatkonvertierung (kein Visio als PDF-Quelle)</x:v>
      </x:c>
      <x:c r="B21" s="79" t="str">
        <x:v>https://learn.microsoft.com/en-us/graph/api/driveitem-get-content-format?view=graph-rest-1.0</x:v>
      </x:c>
      <x:c r="C21" s="79"/>
      <x:c r="D21" s="79"/>
    </x:row>
    <x:row r="22" ht="58" customHeight="1">
      <x:c r="A22" s="79" t="str">
        <x:v>Sites.Selected und Resource Specific Consent</x:v>
      </x:c>
      <x:c r="B22" s="79" t="str">
        <x:v>https://learn.microsoft.com/en-us/sharepoint/dev/sp-add-ins-modernize/understanding-rsc-for-msgraph-and-sharepoint-online</x:v>
      </x:c>
      <x:c r="C22" s="79"/>
      <x:c r="D22" s="79"/>
    </x:row>
    <x:row r="23" ht="58" customHeight="1">
      <x:c r="A23" s="79" t="str">
        <x:v>Datei-Upload bis 250 MB</x:v>
      </x:c>
      <x:c r="B23" s="79" t="str">
        <x:v>https://learn.microsoft.com/en-us/graph/api/driveitem-put-content?view=graph-rest-1.0</x:v>
      </x:c>
      <x:c r="C23" s="79"/>
      <x:c r="D23" s="79"/>
    </x:row>
    <x:row r="24" ht="58" customHeight="1">
      <x:c r="A24" s="79" t="str">
        <x:v>Fortsetzbare Upload-Sitzungen</x:v>
      </x:c>
      <x:c r="B24" s="79" t="str">
        <x:v>https://learn.microsoft.com/en-us/graph/api/driveitem-createuploadsession?view=graph-rest-1.0</x:v>
      </x:c>
      <x:c r="C24" s="79"/>
      <x:c r="D24" s="79"/>
    </x:row>
  </x:sheetData>
  <x:mergeCells>
    <x:mergeCell ref="A1:D1"/>
    <x:mergeCell ref="A3:D4"/>
  </x:mergeCells>
  <x:pageMargins left="0.7" right="0.7" top="0.75" bottom="0.75" header="0.3" footer="0.3"/>
</x:worksheet>
</file>